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38f30d24b6f608/2026/OEE Report 2026/OEE REPORT MONTHLY FILE 2026/"/>
    </mc:Choice>
  </mc:AlternateContent>
  <xr:revisionPtr revIDLastSave="2081" documentId="8_{ED881FC4-341B-480A-8DD6-E2994CD232F9}" xr6:coauthVersionLast="47" xr6:coauthVersionMax="47" xr10:uidLastSave="{1E7754F4-B3AD-4910-AE49-37334B5E616C}"/>
  <bookViews>
    <workbookView xWindow="-120" yWindow="-120" windowWidth="29040" windowHeight="15840" tabRatio="889" xr2:uid="{F35E594C-7314-4849-B494-AAE2BBDCCF52}"/>
  </bookViews>
  <sheets>
    <sheet name="Summary of OEE" sheetId="16" r:id="rId1"/>
    <sheet name="OEE" sheetId="13" r:id="rId2"/>
    <sheet name="Production Status" sheetId="15" r:id="rId3"/>
    <sheet name="Down Time" sheetId="14" r:id="rId4"/>
    <sheet name="TOP" sheetId="11" r:id="rId5"/>
    <sheet name="Fan Assemble" sheetId="2" r:id="rId6"/>
    <sheet name="Fan Armature" sheetId="3" r:id="rId7"/>
    <sheet name="Fan Power Press &amp; Stamping" sheetId="6" r:id="rId8"/>
    <sheet name="Fan Auto Die Casting" sheetId="8" r:id="rId9"/>
    <sheet name="Fan Rechargeable" sheetId="4" r:id="rId10"/>
    <sheet name="Exhaust Fan" sheetId="5" r:id="rId11"/>
    <sheet name="Fan Lathe" sheetId="12" r:id="rId12"/>
    <sheet name="Auto Powder Coating" sheetId="10" r:id="rId13"/>
  </sheets>
  <definedNames>
    <definedName name="_xlnm._FilterDatabase" localSheetId="6" hidden="1">'Fan Armature'!$F$1:$F$41</definedName>
    <definedName name="_xlnm.Print_Area" localSheetId="12">'Auto Powder Coating'!$A$1:$AM$130</definedName>
    <definedName name="_xlnm.Print_Area" localSheetId="10">'Exhaust Fan'!$A$1:$AM$37</definedName>
    <definedName name="_xlnm.Print_Area" localSheetId="6">'Fan Armature'!$A$1:$AM$37</definedName>
    <definedName name="_xlnm.Print_Area" localSheetId="5">'Fan Assemble'!$A$1:$AM$37</definedName>
    <definedName name="_xlnm.Print_Area" localSheetId="8">'Fan Auto Die Casting'!$A$1:$AM$68</definedName>
    <definedName name="_xlnm.Print_Area" localSheetId="11">'Fan Lathe'!$A$1:$AM$99</definedName>
    <definedName name="_xlnm.Print_Area" localSheetId="7">'Fan Power Press &amp; Stamping'!$A$1:$AP$162</definedName>
    <definedName name="_xlnm.Print_Area" localSheetId="9">'Fan Rechargeable'!$A$1:$AM$37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3" l="1"/>
  <c r="AK6" i="10"/>
  <c r="AL6" i="10"/>
  <c r="AL6" i="12"/>
  <c r="AJ6" i="10"/>
  <c r="Z36" i="2" l="1"/>
  <c r="Z6" i="2"/>
  <c r="F20" i="2"/>
  <c r="F18" i="2"/>
  <c r="F19" i="2"/>
  <c r="F16" i="2"/>
  <c r="F17" i="2"/>
  <c r="F15" i="2"/>
  <c r="F13" i="2"/>
  <c r="F9" i="2"/>
  <c r="F10" i="2"/>
  <c r="F11" i="2"/>
  <c r="F12" i="2"/>
  <c r="F8" i="2"/>
  <c r="AI37" i="4" l="1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AK37" i="4" s="1"/>
  <c r="E37" i="4"/>
  <c r="AK36" i="4"/>
  <c r="AJ36" i="4"/>
  <c r="Z36" i="4"/>
  <c r="AH36" i="4" s="1"/>
  <c r="J36" i="4" s="1"/>
  <c r="AI36" i="4" s="1"/>
  <c r="I36" i="4"/>
  <c r="AK35" i="4"/>
  <c r="AJ35" i="4"/>
  <c r="Z35" i="4"/>
  <c r="AH35" i="4" s="1"/>
  <c r="J35" i="4" s="1"/>
  <c r="AI35" i="4" s="1"/>
  <c r="I35" i="4"/>
  <c r="AK34" i="4"/>
  <c r="AJ34" i="4"/>
  <c r="Z34" i="4"/>
  <c r="AH34" i="4" s="1"/>
  <c r="J34" i="4" s="1"/>
  <c r="AI34" i="4" s="1"/>
  <c r="I34" i="4"/>
  <c r="AK33" i="4"/>
  <c r="AJ33" i="4"/>
  <c r="Z33" i="4"/>
  <c r="AH33" i="4" s="1"/>
  <c r="J33" i="4" s="1"/>
  <c r="AI33" i="4" s="1"/>
  <c r="I33" i="4"/>
  <c r="AK32" i="4"/>
  <c r="AJ32" i="4"/>
  <c r="Z32" i="4"/>
  <c r="AH32" i="4" s="1"/>
  <c r="J32" i="4" s="1"/>
  <c r="AI32" i="4" s="1"/>
  <c r="I32" i="4"/>
  <c r="AK31" i="4"/>
  <c r="AJ31" i="4"/>
  <c r="Z31" i="4"/>
  <c r="AH31" i="4" s="1"/>
  <c r="J31" i="4" s="1"/>
  <c r="AI31" i="4" s="1"/>
  <c r="I31" i="4"/>
  <c r="AK30" i="4"/>
  <c r="AJ30" i="4"/>
  <c r="Z30" i="4"/>
  <c r="AH30" i="4" s="1"/>
  <c r="J30" i="4" s="1"/>
  <c r="AI30" i="4" s="1"/>
  <c r="I30" i="4"/>
  <c r="AK29" i="4"/>
  <c r="AJ29" i="4"/>
  <c r="Z29" i="4"/>
  <c r="AH29" i="4" s="1"/>
  <c r="J29" i="4" s="1"/>
  <c r="AI29" i="4" s="1"/>
  <c r="I29" i="4"/>
  <c r="AK28" i="4"/>
  <c r="AJ28" i="4"/>
  <c r="Z28" i="4"/>
  <c r="AH28" i="4" s="1"/>
  <c r="J28" i="4" s="1"/>
  <c r="AI28" i="4" s="1"/>
  <c r="I28" i="4"/>
  <c r="AK27" i="4"/>
  <c r="AJ27" i="4"/>
  <c r="Z27" i="4"/>
  <c r="AH27" i="4" s="1"/>
  <c r="J27" i="4" s="1"/>
  <c r="AI27" i="4" s="1"/>
  <c r="I27" i="4"/>
  <c r="AK26" i="4"/>
  <c r="AJ26" i="4"/>
  <c r="Z26" i="4"/>
  <c r="AH26" i="4" s="1"/>
  <c r="J26" i="4" s="1"/>
  <c r="AI26" i="4" s="1"/>
  <c r="I26" i="4"/>
  <c r="AK25" i="4"/>
  <c r="AJ25" i="4"/>
  <c r="Z25" i="4"/>
  <c r="AH25" i="4" s="1"/>
  <c r="J25" i="4" s="1"/>
  <c r="AI25" i="4" s="1"/>
  <c r="I25" i="4"/>
  <c r="AK24" i="4"/>
  <c r="AJ24" i="4"/>
  <c r="Z24" i="4"/>
  <c r="AH24" i="4" s="1"/>
  <c r="J24" i="4" s="1"/>
  <c r="AI24" i="4" s="1"/>
  <c r="I24" i="4"/>
  <c r="AK23" i="4"/>
  <c r="AJ23" i="4"/>
  <c r="Z23" i="4"/>
  <c r="AH23" i="4" s="1"/>
  <c r="J23" i="4" s="1"/>
  <c r="AI23" i="4" s="1"/>
  <c r="I23" i="4"/>
  <c r="AK22" i="4"/>
  <c r="AJ22" i="4"/>
  <c r="Z22" i="4"/>
  <c r="AH22" i="4" s="1"/>
  <c r="J22" i="4" s="1"/>
  <c r="AI22" i="4" s="1"/>
  <c r="I22" i="4"/>
  <c r="AK21" i="4"/>
  <c r="AJ21" i="4"/>
  <c r="Z21" i="4"/>
  <c r="AH21" i="4" s="1"/>
  <c r="J21" i="4" s="1"/>
  <c r="AI21" i="4" s="1"/>
  <c r="I21" i="4"/>
  <c r="AK20" i="4"/>
  <c r="AJ20" i="4"/>
  <c r="Z20" i="4"/>
  <c r="AH20" i="4" s="1"/>
  <c r="J20" i="4" s="1"/>
  <c r="AI20" i="4" s="1"/>
  <c r="I20" i="4"/>
  <c r="AK19" i="4"/>
  <c r="AJ19" i="4"/>
  <c r="Z19" i="4"/>
  <c r="AH19" i="4" s="1"/>
  <c r="J19" i="4" s="1"/>
  <c r="AI19" i="4" s="1"/>
  <c r="I19" i="4"/>
  <c r="AK18" i="4"/>
  <c r="AJ18" i="4"/>
  <c r="Z18" i="4"/>
  <c r="AH18" i="4" s="1"/>
  <c r="J18" i="4" s="1"/>
  <c r="AI18" i="4" s="1"/>
  <c r="I18" i="4"/>
  <c r="AK17" i="4"/>
  <c r="AJ17" i="4"/>
  <c r="Z17" i="4"/>
  <c r="AH17" i="4" s="1"/>
  <c r="J17" i="4" s="1"/>
  <c r="AI17" i="4" s="1"/>
  <c r="I17" i="4"/>
  <c r="AK16" i="4"/>
  <c r="AJ16" i="4"/>
  <c r="Z16" i="4"/>
  <c r="AH16" i="4" s="1"/>
  <c r="J16" i="4" s="1"/>
  <c r="AI16" i="4" s="1"/>
  <c r="I16" i="4"/>
  <c r="AK15" i="4"/>
  <c r="AJ15" i="4"/>
  <c r="Z15" i="4"/>
  <c r="AH15" i="4" s="1"/>
  <c r="J15" i="4" s="1"/>
  <c r="AI15" i="4" s="1"/>
  <c r="I15" i="4"/>
  <c r="AK14" i="4"/>
  <c r="AJ14" i="4"/>
  <c r="Z14" i="4"/>
  <c r="AH14" i="4" s="1"/>
  <c r="J14" i="4" s="1"/>
  <c r="AI14" i="4" s="1"/>
  <c r="I14" i="4"/>
  <c r="AK13" i="4"/>
  <c r="AJ13" i="4"/>
  <c r="Z13" i="4"/>
  <c r="AH13" i="4" s="1"/>
  <c r="J13" i="4" s="1"/>
  <c r="AI13" i="4" s="1"/>
  <c r="I13" i="4"/>
  <c r="AK12" i="4"/>
  <c r="AJ12" i="4"/>
  <c r="Z12" i="4"/>
  <c r="AH12" i="4" s="1"/>
  <c r="J12" i="4" s="1"/>
  <c r="AI12" i="4" s="1"/>
  <c r="I12" i="4"/>
  <c r="AK11" i="4"/>
  <c r="AJ11" i="4"/>
  <c r="Z11" i="4"/>
  <c r="AH11" i="4" s="1"/>
  <c r="J11" i="4" s="1"/>
  <c r="AI11" i="4" s="1"/>
  <c r="I11" i="4"/>
  <c r="AK10" i="4"/>
  <c r="AJ10" i="4"/>
  <c r="Z10" i="4"/>
  <c r="AH10" i="4" s="1"/>
  <c r="J10" i="4" s="1"/>
  <c r="AI10" i="4" s="1"/>
  <c r="I10" i="4"/>
  <c r="AK9" i="4"/>
  <c r="AJ9" i="4"/>
  <c r="Z9" i="4"/>
  <c r="AH9" i="4" s="1"/>
  <c r="J9" i="4" s="1"/>
  <c r="AI9" i="4" s="1"/>
  <c r="I9" i="4"/>
  <c r="AK8" i="4"/>
  <c r="AJ8" i="4"/>
  <c r="Z8" i="4"/>
  <c r="AH8" i="4" s="1"/>
  <c r="J8" i="4" s="1"/>
  <c r="AI8" i="4" s="1"/>
  <c r="I8" i="4"/>
  <c r="AK7" i="4"/>
  <c r="AJ7" i="4"/>
  <c r="Z7" i="4"/>
  <c r="AH7" i="4" s="1"/>
  <c r="J7" i="4" s="1"/>
  <c r="AI7" i="4" s="1"/>
  <c r="I7" i="4"/>
  <c r="AK6" i="4"/>
  <c r="AJ6" i="4"/>
  <c r="Z6" i="4"/>
  <c r="AH6" i="4" s="1"/>
  <c r="J6" i="4" s="1"/>
  <c r="AI6" i="4" s="1"/>
  <c r="I6" i="4"/>
  <c r="AH37" i="5"/>
  <c r="AG37" i="5"/>
  <c r="AF37" i="5"/>
  <c r="AE37" i="5"/>
  <c r="AD37" i="5"/>
  <c r="AC37" i="5"/>
  <c r="AB37" i="5"/>
  <c r="AA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H37" i="5"/>
  <c r="G37" i="5"/>
  <c r="F37" i="5"/>
  <c r="AK37" i="5" s="1"/>
  <c r="E37" i="5"/>
  <c r="AK36" i="5"/>
  <c r="AJ36" i="5"/>
  <c r="Z36" i="5"/>
  <c r="AH36" i="5" s="1"/>
  <c r="J36" i="5" s="1"/>
  <c r="AI36" i="5" s="1"/>
  <c r="I36" i="5"/>
  <c r="I37" i="5" s="1"/>
  <c r="AK35" i="5"/>
  <c r="AJ35" i="5"/>
  <c r="Z35" i="5"/>
  <c r="AH35" i="5" s="1"/>
  <c r="J35" i="5" s="1"/>
  <c r="AI35" i="5" s="1"/>
  <c r="I35" i="5"/>
  <c r="AK34" i="5"/>
  <c r="AJ34" i="5"/>
  <c r="Z34" i="5"/>
  <c r="AH34" i="5" s="1"/>
  <c r="J34" i="5" s="1"/>
  <c r="AI34" i="5" s="1"/>
  <c r="I34" i="5"/>
  <c r="AK33" i="5"/>
  <c r="AJ33" i="5"/>
  <c r="Z33" i="5"/>
  <c r="AH33" i="5" s="1"/>
  <c r="J33" i="5" s="1"/>
  <c r="AI33" i="5" s="1"/>
  <c r="I33" i="5"/>
  <c r="AK32" i="5"/>
  <c r="AJ32" i="5"/>
  <c r="Z32" i="5"/>
  <c r="AH32" i="5" s="1"/>
  <c r="J32" i="5" s="1"/>
  <c r="AI32" i="5" s="1"/>
  <c r="I32" i="5"/>
  <c r="AK31" i="5"/>
  <c r="AJ31" i="5"/>
  <c r="Z31" i="5"/>
  <c r="AH31" i="5" s="1"/>
  <c r="J31" i="5" s="1"/>
  <c r="AI31" i="5" s="1"/>
  <c r="I31" i="5"/>
  <c r="AK30" i="5"/>
  <c r="AJ30" i="5"/>
  <c r="AH30" i="5"/>
  <c r="J30" i="5" s="1"/>
  <c r="AI30" i="5" s="1"/>
  <c r="AL30" i="5" s="1"/>
  <c r="Z30" i="5"/>
  <c r="I30" i="5"/>
  <c r="AK29" i="5"/>
  <c r="AJ29" i="5"/>
  <c r="Z29" i="5"/>
  <c r="AH29" i="5" s="1"/>
  <c r="J29" i="5" s="1"/>
  <c r="AI29" i="5" s="1"/>
  <c r="I29" i="5"/>
  <c r="AK28" i="5"/>
  <c r="AJ28" i="5"/>
  <c r="AH28" i="5"/>
  <c r="J28" i="5" s="1"/>
  <c r="AI28" i="5" s="1"/>
  <c r="AL28" i="5" s="1"/>
  <c r="Z28" i="5"/>
  <c r="I28" i="5"/>
  <c r="AK27" i="5"/>
  <c r="AL27" i="5" s="1"/>
  <c r="AJ27" i="5"/>
  <c r="Z27" i="5"/>
  <c r="AH27" i="5" s="1"/>
  <c r="J27" i="5" s="1"/>
  <c r="AI27" i="5" s="1"/>
  <c r="I27" i="5"/>
  <c r="AK26" i="5"/>
  <c r="AJ26" i="5"/>
  <c r="AH26" i="5"/>
  <c r="J26" i="5" s="1"/>
  <c r="AI26" i="5" s="1"/>
  <c r="AL26" i="5" s="1"/>
  <c r="Z26" i="5"/>
  <c r="I26" i="5"/>
  <c r="AK25" i="5"/>
  <c r="AL25" i="5" s="1"/>
  <c r="AJ25" i="5"/>
  <c r="Z25" i="5"/>
  <c r="AH25" i="5" s="1"/>
  <c r="J25" i="5" s="1"/>
  <c r="AI25" i="5" s="1"/>
  <c r="I25" i="5"/>
  <c r="AK24" i="5"/>
  <c r="AJ24" i="5"/>
  <c r="AH24" i="5"/>
  <c r="J24" i="5" s="1"/>
  <c r="AI24" i="5" s="1"/>
  <c r="AL24" i="5" s="1"/>
  <c r="Z24" i="5"/>
  <c r="I24" i="5"/>
  <c r="AK23" i="5"/>
  <c r="AJ23" i="5"/>
  <c r="Z23" i="5"/>
  <c r="AH23" i="5" s="1"/>
  <c r="J23" i="5" s="1"/>
  <c r="AI23" i="5" s="1"/>
  <c r="I23" i="5"/>
  <c r="AK22" i="5"/>
  <c r="AJ22" i="5"/>
  <c r="AH22" i="5"/>
  <c r="J22" i="5" s="1"/>
  <c r="AI22" i="5" s="1"/>
  <c r="AL22" i="5" s="1"/>
  <c r="Z22" i="5"/>
  <c r="I22" i="5"/>
  <c r="AK21" i="5"/>
  <c r="AJ21" i="5"/>
  <c r="Z21" i="5"/>
  <c r="AH21" i="5" s="1"/>
  <c r="J21" i="5" s="1"/>
  <c r="AI21" i="5" s="1"/>
  <c r="I21" i="5"/>
  <c r="AK20" i="5"/>
  <c r="AJ20" i="5"/>
  <c r="AH20" i="5"/>
  <c r="J20" i="5" s="1"/>
  <c r="AI20" i="5" s="1"/>
  <c r="AL20" i="5" s="1"/>
  <c r="Z20" i="5"/>
  <c r="I20" i="5"/>
  <c r="AK19" i="5"/>
  <c r="AL19" i="5" s="1"/>
  <c r="AJ19" i="5"/>
  <c r="Z19" i="5"/>
  <c r="AH19" i="5" s="1"/>
  <c r="J19" i="5" s="1"/>
  <c r="AI19" i="5" s="1"/>
  <c r="I19" i="5"/>
  <c r="AK18" i="5"/>
  <c r="AJ18" i="5"/>
  <c r="AH18" i="5"/>
  <c r="J18" i="5" s="1"/>
  <c r="AI18" i="5" s="1"/>
  <c r="AL18" i="5" s="1"/>
  <c r="Z18" i="5"/>
  <c r="I18" i="5"/>
  <c r="AK17" i="5"/>
  <c r="AL17" i="5" s="1"/>
  <c r="AJ17" i="5"/>
  <c r="Z17" i="5"/>
  <c r="AH17" i="5" s="1"/>
  <c r="J17" i="5" s="1"/>
  <c r="AI17" i="5" s="1"/>
  <c r="I17" i="5"/>
  <c r="AK16" i="5"/>
  <c r="AJ16" i="5"/>
  <c r="AH16" i="5"/>
  <c r="J16" i="5" s="1"/>
  <c r="AI16" i="5" s="1"/>
  <c r="AL16" i="5" s="1"/>
  <c r="Z16" i="5"/>
  <c r="I16" i="5"/>
  <c r="AK15" i="5"/>
  <c r="AJ15" i="5"/>
  <c r="Z15" i="5"/>
  <c r="AH15" i="5" s="1"/>
  <c r="J15" i="5" s="1"/>
  <c r="AI15" i="5" s="1"/>
  <c r="I15" i="5"/>
  <c r="AK14" i="5"/>
  <c r="AJ14" i="5"/>
  <c r="AH14" i="5"/>
  <c r="J14" i="5" s="1"/>
  <c r="AI14" i="5" s="1"/>
  <c r="AL14" i="5" s="1"/>
  <c r="Z14" i="5"/>
  <c r="I14" i="5"/>
  <c r="AK13" i="5"/>
  <c r="AJ13" i="5"/>
  <c r="Z13" i="5"/>
  <c r="AH13" i="5" s="1"/>
  <c r="J13" i="5" s="1"/>
  <c r="AI13" i="5" s="1"/>
  <c r="I13" i="5"/>
  <c r="AK12" i="5"/>
  <c r="AJ12" i="5"/>
  <c r="AH12" i="5"/>
  <c r="J12" i="5" s="1"/>
  <c r="AI12" i="5" s="1"/>
  <c r="AL12" i="5" s="1"/>
  <c r="Z12" i="5"/>
  <c r="I12" i="5"/>
  <c r="AK11" i="5"/>
  <c r="AL11" i="5" s="1"/>
  <c r="AJ11" i="5"/>
  <c r="Z11" i="5"/>
  <c r="AH11" i="5" s="1"/>
  <c r="J11" i="5" s="1"/>
  <c r="AI11" i="5" s="1"/>
  <c r="I11" i="5"/>
  <c r="AK10" i="5"/>
  <c r="AJ10" i="5"/>
  <c r="AH10" i="5"/>
  <c r="J10" i="5" s="1"/>
  <c r="AI10" i="5" s="1"/>
  <c r="AL10" i="5" s="1"/>
  <c r="Z10" i="5"/>
  <c r="I10" i="5"/>
  <c r="AK9" i="5"/>
  <c r="AL9" i="5" s="1"/>
  <c r="AJ9" i="5"/>
  <c r="Z9" i="5"/>
  <c r="AH9" i="5" s="1"/>
  <c r="J9" i="5" s="1"/>
  <c r="AI9" i="5" s="1"/>
  <c r="I9" i="5"/>
  <c r="AK8" i="5"/>
  <c r="AJ8" i="5"/>
  <c r="AH8" i="5"/>
  <c r="J8" i="5" s="1"/>
  <c r="AI8" i="5" s="1"/>
  <c r="AL8" i="5" s="1"/>
  <c r="Z8" i="5"/>
  <c r="I8" i="5"/>
  <c r="AK7" i="5"/>
  <c r="AJ7" i="5"/>
  <c r="Z7" i="5"/>
  <c r="AH7" i="5" s="1"/>
  <c r="J7" i="5" s="1"/>
  <c r="AI7" i="5" s="1"/>
  <c r="I7" i="5"/>
  <c r="A7" i="5"/>
  <c r="A8" i="5" s="1"/>
  <c r="AK6" i="5"/>
  <c r="AJ6" i="5"/>
  <c r="AH6" i="5"/>
  <c r="J6" i="5" s="1"/>
  <c r="AI6" i="5" s="1"/>
  <c r="AL6" i="5" s="1"/>
  <c r="Z6" i="5"/>
  <c r="I6" i="5"/>
  <c r="B6" i="5"/>
  <c r="A6" i="5"/>
  <c r="Z37" i="5" l="1"/>
  <c r="J37" i="5"/>
  <c r="AI37" i="5" s="1"/>
  <c r="AJ37" i="4"/>
  <c r="AL37" i="4" s="1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J37" i="5"/>
  <c r="AL13" i="5"/>
  <c r="AL21" i="5"/>
  <c r="AL29" i="5"/>
  <c r="B8" i="5"/>
  <c r="A9" i="5"/>
  <c r="AL7" i="5"/>
  <c r="AL15" i="5"/>
  <c r="AL23" i="5"/>
  <c r="AL31" i="5"/>
  <c r="AL32" i="5"/>
  <c r="AL33" i="5"/>
  <c r="AL34" i="5"/>
  <c r="AL35" i="5"/>
  <c r="AL36" i="5"/>
  <c r="B7" i="5"/>
  <c r="AL37" i="5" l="1"/>
  <c r="A10" i="5"/>
  <c r="B9" i="5"/>
  <c r="B10" i="5" l="1"/>
  <c r="A11" i="5"/>
  <c r="A12" i="5" l="1"/>
  <c r="B11" i="5"/>
  <c r="B12" i="5" l="1"/>
  <c r="A13" i="5"/>
  <c r="A14" i="5" l="1"/>
  <c r="B13" i="5"/>
  <c r="B14" i="5" l="1"/>
  <c r="A15" i="5"/>
  <c r="A16" i="5" l="1"/>
  <c r="B15" i="5"/>
  <c r="B16" i="5" l="1"/>
  <c r="A17" i="5"/>
  <c r="A18" i="5" l="1"/>
  <c r="B17" i="5"/>
  <c r="B18" i="5" l="1"/>
  <c r="A19" i="5"/>
  <c r="A20" i="5" l="1"/>
  <c r="B19" i="5"/>
  <c r="B20" i="5" l="1"/>
  <c r="A21" i="5"/>
  <c r="A22" i="5" l="1"/>
  <c r="B21" i="5"/>
  <c r="B22" i="5" l="1"/>
  <c r="A23" i="5"/>
  <c r="A24" i="5" l="1"/>
  <c r="B23" i="5"/>
  <c r="B24" i="5" l="1"/>
  <c r="A25" i="5"/>
  <c r="A26" i="5" l="1"/>
  <c r="B25" i="5"/>
  <c r="B26" i="5" l="1"/>
  <c r="A27" i="5"/>
  <c r="A28" i="5" l="1"/>
  <c r="B27" i="5"/>
  <c r="B28" i="5" l="1"/>
  <c r="A29" i="5"/>
  <c r="A30" i="5" l="1"/>
  <c r="B29" i="5"/>
  <c r="B30" i="5" l="1"/>
  <c r="A31" i="5"/>
  <c r="A32" i="5" l="1"/>
  <c r="B31" i="5"/>
  <c r="B32" i="5" l="1"/>
  <c r="A33" i="5"/>
  <c r="A34" i="5" l="1"/>
  <c r="B33" i="5"/>
  <c r="B34" i="5" l="1"/>
  <c r="A35" i="5"/>
  <c r="A36" i="5" l="1"/>
  <c r="B36" i="5" s="1"/>
  <c r="B35" i="5"/>
  <c r="I126" i="10" l="1"/>
  <c r="I122" i="10"/>
  <c r="E130" i="10"/>
  <c r="AG130" i="10"/>
  <c r="AF130" i="10"/>
  <c r="AE130" i="10"/>
  <c r="AD130" i="10"/>
  <c r="AC130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H130" i="10"/>
  <c r="G130" i="10"/>
  <c r="F130" i="10"/>
  <c r="AJ130" i="10" l="1"/>
  <c r="AK130" i="10"/>
  <c r="AK129" i="10" l="1"/>
  <c r="AJ129" i="10"/>
  <c r="AH129" i="10"/>
  <c r="J129" i="10" s="1"/>
  <c r="AI129" i="10" s="1"/>
  <c r="I129" i="10"/>
  <c r="AJ128" i="10"/>
  <c r="AJ127" i="10"/>
  <c r="AK126" i="10"/>
  <c r="AJ126" i="10"/>
  <c r="AH126" i="10"/>
  <c r="J126" i="10" s="1"/>
  <c r="AI126" i="10" s="1"/>
  <c r="AK125" i="10"/>
  <c r="AJ125" i="10"/>
  <c r="AH125" i="10"/>
  <c r="J125" i="10" s="1"/>
  <c r="AI125" i="10" s="1"/>
  <c r="I125" i="10"/>
  <c r="AJ124" i="10"/>
  <c r="AJ123" i="10"/>
  <c r="AK122" i="10"/>
  <c r="AJ122" i="10"/>
  <c r="AH122" i="10"/>
  <c r="J122" i="10" s="1"/>
  <c r="AI122" i="10" s="1"/>
  <c r="AK121" i="10"/>
  <c r="AJ121" i="10"/>
  <c r="AH121" i="10"/>
  <c r="J121" i="10" s="1"/>
  <c r="AI121" i="10" s="1"/>
  <c r="I121" i="10"/>
  <c r="AJ120" i="10"/>
  <c r="AJ119" i="10"/>
  <c r="AK118" i="10"/>
  <c r="AJ118" i="10"/>
  <c r="AH118" i="10"/>
  <c r="J118" i="10" s="1"/>
  <c r="AI118" i="10" s="1"/>
  <c r="I118" i="10"/>
  <c r="AK117" i="10"/>
  <c r="AJ117" i="10"/>
  <c r="AH117" i="10"/>
  <c r="J117" i="10" s="1"/>
  <c r="AI117" i="10" s="1"/>
  <c r="I117" i="10"/>
  <c r="AJ116" i="10"/>
  <c r="AJ115" i="10"/>
  <c r="AK114" i="10"/>
  <c r="AJ114" i="10"/>
  <c r="AH114" i="10"/>
  <c r="J114" i="10" s="1"/>
  <c r="AI114" i="10" s="1"/>
  <c r="I114" i="10"/>
  <c r="AK113" i="10"/>
  <c r="AJ113" i="10"/>
  <c r="AH113" i="10"/>
  <c r="J113" i="10" s="1"/>
  <c r="AI113" i="10" s="1"/>
  <c r="I113" i="10"/>
  <c r="AJ112" i="10"/>
  <c r="AJ111" i="10"/>
  <c r="AK110" i="10"/>
  <c r="AJ110" i="10"/>
  <c r="AH110" i="10"/>
  <c r="J110" i="10"/>
  <c r="AI110" i="10" s="1"/>
  <c r="I110" i="10"/>
  <c r="AK109" i="10"/>
  <c r="AJ109" i="10"/>
  <c r="AH109" i="10"/>
  <c r="J109" i="10" s="1"/>
  <c r="AI109" i="10" s="1"/>
  <c r="AJ108" i="10"/>
  <c r="AJ107" i="10"/>
  <c r="AK106" i="10"/>
  <c r="AJ106" i="10"/>
  <c r="AH106" i="10"/>
  <c r="J106" i="10" s="1"/>
  <c r="AI106" i="10" s="1"/>
  <c r="I106" i="10"/>
  <c r="AK105" i="10"/>
  <c r="AJ105" i="10"/>
  <c r="AH105" i="10"/>
  <c r="J105" i="10" s="1"/>
  <c r="AI105" i="10" s="1"/>
  <c r="I105" i="10"/>
  <c r="AJ104" i="10"/>
  <c r="AJ103" i="10"/>
  <c r="AK102" i="10"/>
  <c r="AJ102" i="10"/>
  <c r="AH102" i="10"/>
  <c r="J102" i="10" s="1"/>
  <c r="AI102" i="10" s="1"/>
  <c r="I102" i="10"/>
  <c r="AK101" i="10"/>
  <c r="AJ101" i="10"/>
  <c r="AH101" i="10"/>
  <c r="J101" i="10" s="1"/>
  <c r="AI101" i="10" s="1"/>
  <c r="I101" i="10"/>
  <c r="AJ100" i="10"/>
  <c r="AJ99" i="10"/>
  <c r="AK98" i="10"/>
  <c r="AJ98" i="10"/>
  <c r="AH98" i="10"/>
  <c r="J98" i="10" s="1"/>
  <c r="AI98" i="10" s="1"/>
  <c r="I98" i="10"/>
  <c r="AK97" i="10"/>
  <c r="AJ97" i="10"/>
  <c r="AH97" i="10"/>
  <c r="J97" i="10" s="1"/>
  <c r="AI97" i="10" s="1"/>
  <c r="I97" i="10"/>
  <c r="AJ96" i="10"/>
  <c r="AJ95" i="10"/>
  <c r="AK94" i="10"/>
  <c r="AJ94" i="10"/>
  <c r="AH94" i="10"/>
  <c r="J94" i="10" s="1"/>
  <c r="AI94" i="10" s="1"/>
  <c r="I94" i="10"/>
  <c r="AK93" i="10"/>
  <c r="AJ93" i="10"/>
  <c r="AH93" i="10"/>
  <c r="J93" i="10" s="1"/>
  <c r="AI93" i="10" s="1"/>
  <c r="I93" i="10"/>
  <c r="AJ92" i="10"/>
  <c r="AJ91" i="10"/>
  <c r="AK90" i="10"/>
  <c r="AJ90" i="10"/>
  <c r="AH90" i="10"/>
  <c r="J90" i="10" s="1"/>
  <c r="AI90" i="10" s="1"/>
  <c r="I90" i="10"/>
  <c r="AK89" i="10"/>
  <c r="AJ89" i="10"/>
  <c r="AH89" i="10"/>
  <c r="J89" i="10" s="1"/>
  <c r="AI89" i="10" s="1"/>
  <c r="I89" i="10"/>
  <c r="AJ88" i="10"/>
  <c r="AJ87" i="10"/>
  <c r="AK86" i="10"/>
  <c r="AJ86" i="10"/>
  <c r="AH86" i="10"/>
  <c r="J86" i="10" s="1"/>
  <c r="AI86" i="10" s="1"/>
  <c r="I86" i="10"/>
  <c r="AK85" i="10"/>
  <c r="AJ85" i="10"/>
  <c r="AH85" i="10"/>
  <c r="J85" i="10" s="1"/>
  <c r="AI85" i="10" s="1"/>
  <c r="I85" i="10"/>
  <c r="AJ84" i="10"/>
  <c r="AJ83" i="10"/>
  <c r="AK82" i="10"/>
  <c r="AJ82" i="10"/>
  <c r="AH82" i="10"/>
  <c r="J82" i="10" s="1"/>
  <c r="AI82" i="10" s="1"/>
  <c r="I82" i="10"/>
  <c r="AK81" i="10"/>
  <c r="AJ81" i="10"/>
  <c r="AH81" i="10"/>
  <c r="J81" i="10" s="1"/>
  <c r="AI81" i="10" s="1"/>
  <c r="I81" i="10"/>
  <c r="AJ80" i="10"/>
  <c r="AJ79" i="10"/>
  <c r="AK78" i="10"/>
  <c r="AJ78" i="10"/>
  <c r="AH78" i="10"/>
  <c r="J78" i="10" s="1"/>
  <c r="AI78" i="10" s="1"/>
  <c r="I78" i="10"/>
  <c r="AK77" i="10"/>
  <c r="AJ77" i="10"/>
  <c r="AH77" i="10"/>
  <c r="J77" i="10"/>
  <c r="AI77" i="10" s="1"/>
  <c r="I77" i="10"/>
  <c r="AJ76" i="10"/>
  <c r="AJ75" i="10"/>
  <c r="AK74" i="10"/>
  <c r="AJ74" i="10"/>
  <c r="AH74" i="10"/>
  <c r="J74" i="10"/>
  <c r="AI74" i="10" s="1"/>
  <c r="I74" i="10"/>
  <c r="AK73" i="10"/>
  <c r="AJ73" i="10"/>
  <c r="AH73" i="10"/>
  <c r="J73" i="10" s="1"/>
  <c r="AI73" i="10" s="1"/>
  <c r="I73" i="10"/>
  <c r="AJ72" i="10"/>
  <c r="AJ71" i="10"/>
  <c r="AK70" i="10"/>
  <c r="AJ70" i="10"/>
  <c r="AH70" i="10"/>
  <c r="J70" i="10" s="1"/>
  <c r="AI70" i="10" s="1"/>
  <c r="I70" i="10"/>
  <c r="AK69" i="10"/>
  <c r="AJ69" i="10"/>
  <c r="AH69" i="10"/>
  <c r="J69" i="10" s="1"/>
  <c r="AI69" i="10" s="1"/>
  <c r="I69" i="10"/>
  <c r="AJ68" i="10"/>
  <c r="AJ67" i="10"/>
  <c r="AK66" i="10"/>
  <c r="AJ66" i="10"/>
  <c r="AH66" i="10"/>
  <c r="J66" i="10" s="1"/>
  <c r="AI66" i="10" s="1"/>
  <c r="I66" i="10"/>
  <c r="AK65" i="10"/>
  <c r="AJ65" i="10"/>
  <c r="AH65" i="10"/>
  <c r="J65" i="10" s="1"/>
  <c r="AI65" i="10" s="1"/>
  <c r="I65" i="10"/>
  <c r="AJ64" i="10"/>
  <c r="AJ63" i="10"/>
  <c r="AK62" i="10"/>
  <c r="AJ62" i="10"/>
  <c r="AH62" i="10"/>
  <c r="J62" i="10" s="1"/>
  <c r="AI62" i="10" s="1"/>
  <c r="I62" i="10"/>
  <c r="AK61" i="10"/>
  <c r="AJ61" i="10"/>
  <c r="AH61" i="10"/>
  <c r="J61" i="10" s="1"/>
  <c r="AI61" i="10" s="1"/>
  <c r="I61" i="10"/>
  <c r="AJ60" i="10"/>
  <c r="AJ59" i="10"/>
  <c r="AK58" i="10"/>
  <c r="AJ58" i="10"/>
  <c r="AH58" i="10"/>
  <c r="J58" i="10"/>
  <c r="AI58" i="10" s="1"/>
  <c r="I58" i="10"/>
  <c r="AK57" i="10"/>
  <c r="AJ57" i="10"/>
  <c r="AH57" i="10"/>
  <c r="J57" i="10" s="1"/>
  <c r="AI57" i="10" s="1"/>
  <c r="AL57" i="10" s="1"/>
  <c r="I57" i="10"/>
  <c r="AJ56" i="10"/>
  <c r="AJ55" i="10"/>
  <c r="AK54" i="10"/>
  <c r="AJ54" i="10"/>
  <c r="AH54" i="10"/>
  <c r="J54" i="10" s="1"/>
  <c r="AI54" i="10" s="1"/>
  <c r="AK53" i="10"/>
  <c r="AJ53" i="10"/>
  <c r="AH53" i="10"/>
  <c r="J53" i="10" s="1"/>
  <c r="AI53" i="10" s="1"/>
  <c r="I53" i="10"/>
  <c r="AJ52" i="10"/>
  <c r="AJ51" i="10"/>
  <c r="AK50" i="10"/>
  <c r="AJ50" i="10"/>
  <c r="AH50" i="10"/>
  <c r="J50" i="10"/>
  <c r="AI50" i="10" s="1"/>
  <c r="I50" i="10"/>
  <c r="AK49" i="10"/>
  <c r="AJ49" i="10"/>
  <c r="AH49" i="10"/>
  <c r="J49" i="10" s="1"/>
  <c r="AI49" i="10" s="1"/>
  <c r="I49" i="10"/>
  <c r="AJ48" i="10"/>
  <c r="AJ47" i="10"/>
  <c r="AK46" i="10"/>
  <c r="AJ46" i="10"/>
  <c r="AH46" i="10"/>
  <c r="J46" i="10" s="1"/>
  <c r="AI46" i="10" s="1"/>
  <c r="I46" i="10"/>
  <c r="AK45" i="10"/>
  <c r="AJ45" i="10"/>
  <c r="AH45" i="10"/>
  <c r="J45" i="10" s="1"/>
  <c r="AI45" i="10" s="1"/>
  <c r="I45" i="10"/>
  <c r="AJ44" i="10"/>
  <c r="AJ43" i="10"/>
  <c r="AK42" i="10"/>
  <c r="AJ42" i="10"/>
  <c r="AH42" i="10"/>
  <c r="J42" i="10" s="1"/>
  <c r="AI42" i="10" s="1"/>
  <c r="I42" i="10"/>
  <c r="AK41" i="10"/>
  <c r="AJ41" i="10"/>
  <c r="AH41" i="10"/>
  <c r="J41" i="10" s="1"/>
  <c r="AI41" i="10" s="1"/>
  <c r="I41" i="10"/>
  <c r="AJ40" i="10"/>
  <c r="AJ39" i="10"/>
  <c r="AK38" i="10"/>
  <c r="AJ38" i="10"/>
  <c r="AH38" i="10"/>
  <c r="J38" i="10" s="1"/>
  <c r="AI38" i="10" s="1"/>
  <c r="I38" i="10"/>
  <c r="AK37" i="10"/>
  <c r="AJ37" i="10"/>
  <c r="AH37" i="10"/>
  <c r="J37" i="10" s="1"/>
  <c r="AI37" i="10" s="1"/>
  <c r="I37" i="10"/>
  <c r="AJ36" i="10"/>
  <c r="AJ35" i="10"/>
  <c r="AK34" i="10"/>
  <c r="AJ34" i="10"/>
  <c r="AH34" i="10"/>
  <c r="J34" i="10" s="1"/>
  <c r="AI34" i="10" s="1"/>
  <c r="I34" i="10"/>
  <c r="AK33" i="10"/>
  <c r="AJ33" i="10"/>
  <c r="AH33" i="10"/>
  <c r="J33" i="10" s="1"/>
  <c r="AI33" i="10" s="1"/>
  <c r="I33" i="10"/>
  <c r="AJ32" i="10"/>
  <c r="AJ31" i="10"/>
  <c r="AK30" i="10"/>
  <c r="AJ30" i="10"/>
  <c r="AH30" i="10"/>
  <c r="J30" i="10" s="1"/>
  <c r="AI30" i="10" s="1"/>
  <c r="I30" i="10"/>
  <c r="AK29" i="10"/>
  <c r="AJ29" i="10"/>
  <c r="AH29" i="10"/>
  <c r="J29" i="10" s="1"/>
  <c r="AI29" i="10" s="1"/>
  <c r="I29" i="10"/>
  <c r="AJ28" i="10"/>
  <c r="AJ27" i="10"/>
  <c r="AK26" i="10"/>
  <c r="AJ26" i="10"/>
  <c r="AH26" i="10"/>
  <c r="J26" i="10" s="1"/>
  <c r="AI26" i="10" s="1"/>
  <c r="I26" i="10"/>
  <c r="AK25" i="10"/>
  <c r="AJ25" i="10"/>
  <c r="AH25" i="10"/>
  <c r="J25" i="10" s="1"/>
  <c r="AI25" i="10" s="1"/>
  <c r="I25" i="10"/>
  <c r="AJ24" i="10"/>
  <c r="AJ23" i="10"/>
  <c r="AK22" i="10"/>
  <c r="AJ22" i="10"/>
  <c r="AH22" i="10"/>
  <c r="J22" i="10" s="1"/>
  <c r="AI22" i="10" s="1"/>
  <c r="I22" i="10"/>
  <c r="AK21" i="10"/>
  <c r="AJ21" i="10"/>
  <c r="AH21" i="10"/>
  <c r="J21" i="10" s="1"/>
  <c r="AI21" i="10" s="1"/>
  <c r="I21" i="10"/>
  <c r="AJ20" i="10"/>
  <c r="AJ19" i="10"/>
  <c r="AK18" i="10"/>
  <c r="AJ18" i="10"/>
  <c r="AH18" i="10"/>
  <c r="J18" i="10" s="1"/>
  <c r="AI18" i="10" s="1"/>
  <c r="I18" i="10"/>
  <c r="AK17" i="10"/>
  <c r="AJ17" i="10"/>
  <c r="AH17" i="10"/>
  <c r="J17" i="10" s="1"/>
  <c r="AI17" i="10" s="1"/>
  <c r="I17" i="10"/>
  <c r="AJ16" i="10"/>
  <c r="AJ15" i="10"/>
  <c r="AK14" i="10"/>
  <c r="AJ14" i="10"/>
  <c r="AH14" i="10"/>
  <c r="J14" i="10" s="1"/>
  <c r="AI14" i="10" s="1"/>
  <c r="I14" i="10"/>
  <c r="AK13" i="10"/>
  <c r="AJ13" i="10"/>
  <c r="AH13" i="10"/>
  <c r="J13" i="10" s="1"/>
  <c r="AI13" i="10" s="1"/>
  <c r="I13" i="10"/>
  <c r="AJ12" i="10"/>
  <c r="AJ11" i="10"/>
  <c r="AK10" i="10"/>
  <c r="AJ10" i="10"/>
  <c r="AH10" i="10"/>
  <c r="J10" i="10"/>
  <c r="AI10" i="10" s="1"/>
  <c r="I10" i="10"/>
  <c r="AK9" i="10"/>
  <c r="AJ9" i="10"/>
  <c r="AH9" i="10"/>
  <c r="J9" i="10" s="1"/>
  <c r="AI9" i="10" s="1"/>
  <c r="I9" i="10"/>
  <c r="AJ8" i="10"/>
  <c r="AJ7" i="10"/>
  <c r="AH6" i="10"/>
  <c r="I6" i="10"/>
  <c r="AI99" i="12"/>
  <c r="AH99" i="12"/>
  <c r="AG99" i="12"/>
  <c r="AF99" i="12"/>
  <c r="AE99" i="12"/>
  <c r="AD99" i="12"/>
  <c r="AC99" i="12"/>
  <c r="AB99" i="12"/>
  <c r="AA99" i="12"/>
  <c r="Z99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AK99" i="12" s="1"/>
  <c r="E99" i="12"/>
  <c r="AK98" i="12"/>
  <c r="AJ98" i="12"/>
  <c r="AI98" i="12"/>
  <c r="AH98" i="12"/>
  <c r="J98" i="12"/>
  <c r="I98" i="12"/>
  <c r="AK97" i="12"/>
  <c r="AJ97" i="12"/>
  <c r="AL97" i="12" s="1"/>
  <c r="AH97" i="12"/>
  <c r="J97" i="12" s="1"/>
  <c r="AI97" i="12" s="1"/>
  <c r="I97" i="12"/>
  <c r="AK96" i="12"/>
  <c r="AJ96" i="12"/>
  <c r="AH96" i="12"/>
  <c r="J96" i="12"/>
  <c r="AI96" i="12" s="1"/>
  <c r="I96" i="12"/>
  <c r="AK95" i="12"/>
  <c r="AJ95" i="12"/>
  <c r="AH95" i="12"/>
  <c r="J95" i="12" s="1"/>
  <c r="AI95" i="12" s="1"/>
  <c r="I95" i="12"/>
  <c r="AK94" i="12"/>
  <c r="AL94" i="12" s="1"/>
  <c r="AJ94" i="12"/>
  <c r="AH94" i="12"/>
  <c r="J94" i="12"/>
  <c r="AI94" i="12" s="1"/>
  <c r="I94" i="12"/>
  <c r="AK93" i="12"/>
  <c r="AJ93" i="12"/>
  <c r="AH93" i="12"/>
  <c r="J93" i="12"/>
  <c r="AI93" i="12" s="1"/>
  <c r="I93" i="12"/>
  <c r="AK92" i="12"/>
  <c r="AJ92" i="12"/>
  <c r="AH92" i="12"/>
  <c r="J92" i="12"/>
  <c r="AI92" i="12" s="1"/>
  <c r="I92" i="12"/>
  <c r="AK91" i="12"/>
  <c r="AJ91" i="12"/>
  <c r="AH91" i="12"/>
  <c r="J91" i="12"/>
  <c r="AI91" i="12" s="1"/>
  <c r="I91" i="12"/>
  <c r="AK90" i="12"/>
  <c r="AJ90" i="12"/>
  <c r="AI90" i="12"/>
  <c r="AH90" i="12"/>
  <c r="J90" i="12"/>
  <c r="I90" i="12"/>
  <c r="AK89" i="12"/>
  <c r="AJ89" i="12"/>
  <c r="AH89" i="12"/>
  <c r="J89" i="12"/>
  <c r="AI89" i="12" s="1"/>
  <c r="I89" i="12"/>
  <c r="AK88" i="12"/>
  <c r="AJ88" i="12"/>
  <c r="AI88" i="12"/>
  <c r="AH88" i="12"/>
  <c r="J88" i="12"/>
  <c r="I88" i="12"/>
  <c r="AK87" i="12"/>
  <c r="AJ87" i="12"/>
  <c r="AI87" i="12"/>
  <c r="AH87" i="12"/>
  <c r="J87" i="12" s="1"/>
  <c r="I87" i="12"/>
  <c r="AK86" i="12"/>
  <c r="AJ86" i="12"/>
  <c r="AI86" i="12"/>
  <c r="AH86" i="12"/>
  <c r="J86" i="12"/>
  <c r="I86" i="12"/>
  <c r="AK85" i="12"/>
  <c r="AJ85" i="12"/>
  <c r="AH85" i="12"/>
  <c r="J85" i="12" s="1"/>
  <c r="AI85" i="12" s="1"/>
  <c r="I85" i="12"/>
  <c r="AK84" i="12"/>
  <c r="AJ84" i="12"/>
  <c r="AH84" i="12"/>
  <c r="J84" i="12" s="1"/>
  <c r="AI84" i="12" s="1"/>
  <c r="I84" i="12"/>
  <c r="AK83" i="12"/>
  <c r="AJ83" i="12"/>
  <c r="AH83" i="12"/>
  <c r="J83" i="12" s="1"/>
  <c r="AI83" i="12" s="1"/>
  <c r="I83" i="12"/>
  <c r="AK82" i="12"/>
  <c r="AL82" i="12" s="1"/>
  <c r="AJ82" i="12"/>
  <c r="AH82" i="12"/>
  <c r="J82" i="12"/>
  <c r="AI82" i="12" s="1"/>
  <c r="I82" i="12"/>
  <c r="AK81" i="12"/>
  <c r="AJ81" i="12"/>
  <c r="AH81" i="12"/>
  <c r="J81" i="12"/>
  <c r="AI81" i="12" s="1"/>
  <c r="I81" i="12"/>
  <c r="AK80" i="12"/>
  <c r="AL80" i="12" s="1"/>
  <c r="AJ80" i="12"/>
  <c r="AH80" i="12"/>
  <c r="J80" i="12" s="1"/>
  <c r="AI80" i="12" s="1"/>
  <c r="I80" i="12"/>
  <c r="AK79" i="12"/>
  <c r="AJ79" i="12"/>
  <c r="AH79" i="12"/>
  <c r="J79" i="12"/>
  <c r="AI79" i="12" s="1"/>
  <c r="I79" i="12"/>
  <c r="AK78" i="12"/>
  <c r="AJ78" i="12"/>
  <c r="AH78" i="12"/>
  <c r="J78" i="12" s="1"/>
  <c r="AI78" i="12" s="1"/>
  <c r="I78" i="12"/>
  <c r="AK77" i="12"/>
  <c r="AJ77" i="12"/>
  <c r="AH77" i="12"/>
  <c r="J77" i="12"/>
  <c r="AI77" i="12" s="1"/>
  <c r="I77" i="12"/>
  <c r="AK76" i="12"/>
  <c r="AJ76" i="12"/>
  <c r="AH76" i="12"/>
  <c r="J76" i="12" s="1"/>
  <c r="AI76" i="12" s="1"/>
  <c r="I76" i="12"/>
  <c r="AK75" i="12"/>
  <c r="AJ75" i="12"/>
  <c r="AH75" i="12"/>
  <c r="J75" i="12" s="1"/>
  <c r="AI75" i="12" s="1"/>
  <c r="I75" i="12"/>
  <c r="AK74" i="12"/>
  <c r="AL74" i="12" s="1"/>
  <c r="AJ74" i="12"/>
  <c r="AI74" i="12"/>
  <c r="AH74" i="12"/>
  <c r="J74" i="12"/>
  <c r="I74" i="12"/>
  <c r="AK73" i="12"/>
  <c r="AJ73" i="12"/>
  <c r="AH73" i="12"/>
  <c r="J73" i="12" s="1"/>
  <c r="AI73" i="12" s="1"/>
  <c r="AL73" i="12" s="1"/>
  <c r="I73" i="12"/>
  <c r="AK72" i="12"/>
  <c r="AJ72" i="12"/>
  <c r="AH72" i="12"/>
  <c r="J72" i="12"/>
  <c r="AI72" i="12" s="1"/>
  <c r="I72" i="12"/>
  <c r="AK71" i="12"/>
  <c r="AJ71" i="12"/>
  <c r="AH71" i="12"/>
  <c r="J71" i="12" s="1"/>
  <c r="AI71" i="12" s="1"/>
  <c r="I71" i="12"/>
  <c r="AK70" i="12"/>
  <c r="AJ70" i="12"/>
  <c r="AH70" i="12"/>
  <c r="J70" i="12" s="1"/>
  <c r="AI70" i="12" s="1"/>
  <c r="I70" i="12"/>
  <c r="AK69" i="12"/>
  <c r="AJ69" i="12"/>
  <c r="AH69" i="12"/>
  <c r="J69" i="12"/>
  <c r="AI69" i="12" s="1"/>
  <c r="I69" i="12"/>
  <c r="AK68" i="12"/>
  <c r="AJ68" i="12"/>
  <c r="AH68" i="12"/>
  <c r="J68" i="12"/>
  <c r="AI68" i="12" s="1"/>
  <c r="I68" i="12"/>
  <c r="AK67" i="12"/>
  <c r="AJ67" i="12"/>
  <c r="AH67" i="12"/>
  <c r="J67" i="12"/>
  <c r="AI67" i="12" s="1"/>
  <c r="I67" i="12"/>
  <c r="AK66" i="12"/>
  <c r="AJ66" i="12"/>
  <c r="AH66" i="12"/>
  <c r="J66" i="12" s="1"/>
  <c r="AI66" i="12" s="1"/>
  <c r="I66" i="12"/>
  <c r="AK65" i="12"/>
  <c r="AJ65" i="12"/>
  <c r="AH65" i="12"/>
  <c r="J65" i="12"/>
  <c r="AI65" i="12" s="1"/>
  <c r="I65" i="12"/>
  <c r="AK64" i="12"/>
  <c r="AJ64" i="12"/>
  <c r="AI64" i="12"/>
  <c r="AH64" i="12"/>
  <c r="J64" i="12"/>
  <c r="I64" i="12"/>
  <c r="AK63" i="12"/>
  <c r="AJ63" i="12"/>
  <c r="AH63" i="12"/>
  <c r="J63" i="12" s="1"/>
  <c r="AI63" i="12" s="1"/>
  <c r="I63" i="12"/>
  <c r="AK62" i="12"/>
  <c r="AJ62" i="12"/>
  <c r="AI62" i="12"/>
  <c r="AH62" i="12"/>
  <c r="J62" i="12"/>
  <c r="I62" i="12"/>
  <c r="AK61" i="12"/>
  <c r="AJ61" i="12"/>
  <c r="AH61" i="12"/>
  <c r="J61" i="12" s="1"/>
  <c r="AI61" i="12" s="1"/>
  <c r="I61" i="12"/>
  <c r="AK60" i="12"/>
  <c r="AJ60" i="12"/>
  <c r="AH60" i="12"/>
  <c r="J60" i="12"/>
  <c r="AI60" i="12" s="1"/>
  <c r="I60" i="12"/>
  <c r="AK59" i="12"/>
  <c r="AJ59" i="12"/>
  <c r="AH59" i="12"/>
  <c r="J59" i="12" s="1"/>
  <c r="AI59" i="12" s="1"/>
  <c r="I59" i="12"/>
  <c r="AK58" i="12"/>
  <c r="AJ58" i="12"/>
  <c r="AH58" i="12"/>
  <c r="J58" i="12" s="1"/>
  <c r="AI58" i="12" s="1"/>
  <c r="I58" i="12"/>
  <c r="AK57" i="12"/>
  <c r="AJ57" i="12"/>
  <c r="AH57" i="12"/>
  <c r="J57" i="12"/>
  <c r="AI57" i="12" s="1"/>
  <c r="I57" i="12"/>
  <c r="AK56" i="12"/>
  <c r="AJ56" i="12"/>
  <c r="AH56" i="12"/>
  <c r="J56" i="12"/>
  <c r="AI56" i="12" s="1"/>
  <c r="AL56" i="12" s="1"/>
  <c r="I56" i="12"/>
  <c r="AK55" i="12"/>
  <c r="AJ55" i="12"/>
  <c r="AH55" i="12"/>
  <c r="J55" i="12"/>
  <c r="AI55" i="12" s="1"/>
  <c r="I55" i="12"/>
  <c r="AK54" i="12"/>
  <c r="AJ54" i="12"/>
  <c r="AI54" i="12"/>
  <c r="AH54" i="12"/>
  <c r="J54" i="12"/>
  <c r="I54" i="12"/>
  <c r="AK53" i="12"/>
  <c r="AJ53" i="12"/>
  <c r="AH53" i="12"/>
  <c r="J53" i="12"/>
  <c r="AI53" i="12" s="1"/>
  <c r="I53" i="12"/>
  <c r="AK52" i="12"/>
  <c r="AJ52" i="12"/>
  <c r="AI52" i="12"/>
  <c r="AH52" i="12"/>
  <c r="J52" i="12"/>
  <c r="I52" i="12"/>
  <c r="AK51" i="12"/>
  <c r="AJ51" i="12"/>
  <c r="AI51" i="12"/>
  <c r="AH51" i="12"/>
  <c r="J51" i="12" s="1"/>
  <c r="I51" i="12"/>
  <c r="AK50" i="12"/>
  <c r="AJ50" i="12"/>
  <c r="AI50" i="12"/>
  <c r="AH50" i="12"/>
  <c r="J50" i="12"/>
  <c r="I50" i="12"/>
  <c r="AK49" i="12"/>
  <c r="AJ49" i="12"/>
  <c r="AH49" i="12"/>
  <c r="J49" i="12" s="1"/>
  <c r="AI49" i="12" s="1"/>
  <c r="I49" i="12"/>
  <c r="AK48" i="12"/>
  <c r="AJ48" i="12"/>
  <c r="AH48" i="12"/>
  <c r="J48" i="12" s="1"/>
  <c r="AI48" i="12" s="1"/>
  <c r="I48" i="12"/>
  <c r="AK47" i="12"/>
  <c r="AJ47" i="12"/>
  <c r="AH47" i="12"/>
  <c r="J47" i="12" s="1"/>
  <c r="AI47" i="12" s="1"/>
  <c r="I47" i="12"/>
  <c r="AK46" i="12"/>
  <c r="AJ46" i="12"/>
  <c r="AH46" i="12"/>
  <c r="J46" i="12"/>
  <c r="AI46" i="12" s="1"/>
  <c r="I46" i="12"/>
  <c r="AK45" i="12"/>
  <c r="AL45" i="12" s="1"/>
  <c r="AJ45" i="12"/>
  <c r="AH45" i="12"/>
  <c r="J45" i="12"/>
  <c r="AI45" i="12" s="1"/>
  <c r="I45" i="12"/>
  <c r="AK44" i="12"/>
  <c r="AJ44" i="12"/>
  <c r="AH44" i="12"/>
  <c r="J44" i="12" s="1"/>
  <c r="AI44" i="12" s="1"/>
  <c r="I44" i="12"/>
  <c r="AK43" i="12"/>
  <c r="AJ43" i="12"/>
  <c r="AH43" i="12"/>
  <c r="J43" i="12"/>
  <c r="AI43" i="12" s="1"/>
  <c r="I43" i="12"/>
  <c r="AK42" i="12"/>
  <c r="AJ42" i="12"/>
  <c r="AH42" i="12"/>
  <c r="J42" i="12" s="1"/>
  <c r="AI42" i="12" s="1"/>
  <c r="I42" i="12"/>
  <c r="AK41" i="12"/>
  <c r="AJ41" i="12"/>
  <c r="AH41" i="12"/>
  <c r="J41" i="12"/>
  <c r="AI41" i="12" s="1"/>
  <c r="I41" i="12"/>
  <c r="AK40" i="12"/>
  <c r="AJ40" i="12"/>
  <c r="AH40" i="12"/>
  <c r="J40" i="12" s="1"/>
  <c r="AI40" i="12" s="1"/>
  <c r="I40" i="12"/>
  <c r="AK39" i="12"/>
  <c r="AJ39" i="12"/>
  <c r="AH39" i="12"/>
  <c r="J39" i="12" s="1"/>
  <c r="AI39" i="12" s="1"/>
  <c r="I39" i="12"/>
  <c r="AK38" i="12"/>
  <c r="AJ38" i="12"/>
  <c r="AH38" i="12"/>
  <c r="J38" i="12" s="1"/>
  <c r="AI38" i="12" s="1"/>
  <c r="I38" i="12"/>
  <c r="AK37" i="12"/>
  <c r="AJ37" i="12"/>
  <c r="AI37" i="12"/>
  <c r="AH37" i="12"/>
  <c r="J37" i="12" s="1"/>
  <c r="I37" i="12"/>
  <c r="AK36" i="12"/>
  <c r="AL36" i="12" s="1"/>
  <c r="AJ36" i="12"/>
  <c r="AH36" i="12"/>
  <c r="J36" i="12"/>
  <c r="AI36" i="12" s="1"/>
  <c r="I36" i="12"/>
  <c r="AK35" i="12"/>
  <c r="AJ35" i="12"/>
  <c r="AH35" i="12"/>
  <c r="J35" i="12" s="1"/>
  <c r="AI35" i="12" s="1"/>
  <c r="I35" i="12"/>
  <c r="AK34" i="12"/>
  <c r="AJ34" i="12"/>
  <c r="AH34" i="12"/>
  <c r="J34" i="12"/>
  <c r="AI34" i="12" s="1"/>
  <c r="AL34" i="12" s="1"/>
  <c r="I34" i="12"/>
  <c r="AK33" i="12"/>
  <c r="AJ33" i="12"/>
  <c r="AH33" i="12"/>
  <c r="J33" i="12"/>
  <c r="AI33" i="12" s="1"/>
  <c r="I33" i="12"/>
  <c r="AK32" i="12"/>
  <c r="AJ32" i="12"/>
  <c r="AH32" i="12"/>
  <c r="J32" i="12"/>
  <c r="AI32" i="12" s="1"/>
  <c r="I32" i="12"/>
  <c r="AK31" i="12"/>
  <c r="AJ31" i="12"/>
  <c r="AH31" i="12"/>
  <c r="J31" i="12"/>
  <c r="AI31" i="12" s="1"/>
  <c r="I31" i="12"/>
  <c r="AK30" i="12"/>
  <c r="AJ30" i="12"/>
  <c r="AI30" i="12"/>
  <c r="AH30" i="12"/>
  <c r="J30" i="12" s="1"/>
  <c r="I30" i="12"/>
  <c r="AK29" i="12"/>
  <c r="AL29" i="12" s="1"/>
  <c r="AJ29" i="12"/>
  <c r="AH29" i="12"/>
  <c r="J29" i="12"/>
  <c r="AI29" i="12" s="1"/>
  <c r="I29" i="12"/>
  <c r="AK28" i="12"/>
  <c r="AJ28" i="12"/>
  <c r="AH28" i="12"/>
  <c r="J28" i="12" s="1"/>
  <c r="AI28" i="12" s="1"/>
  <c r="I28" i="12"/>
  <c r="AK27" i="12"/>
  <c r="AJ27" i="12"/>
  <c r="AH27" i="12"/>
  <c r="J27" i="12" s="1"/>
  <c r="AI27" i="12" s="1"/>
  <c r="I27" i="12"/>
  <c r="AK26" i="12"/>
  <c r="AJ26" i="12"/>
  <c r="AI26" i="12"/>
  <c r="AH26" i="12"/>
  <c r="J26" i="12" s="1"/>
  <c r="I26" i="12"/>
  <c r="AK25" i="12"/>
  <c r="AJ25" i="12"/>
  <c r="AH25" i="12"/>
  <c r="J25" i="12" s="1"/>
  <c r="AI25" i="12" s="1"/>
  <c r="I25" i="12"/>
  <c r="AK24" i="12"/>
  <c r="AJ24" i="12"/>
  <c r="AH24" i="12"/>
  <c r="J24" i="12" s="1"/>
  <c r="AI24" i="12" s="1"/>
  <c r="I24" i="12"/>
  <c r="AK23" i="12"/>
  <c r="AJ23" i="12"/>
  <c r="AH23" i="12"/>
  <c r="J23" i="12" s="1"/>
  <c r="AI23" i="12" s="1"/>
  <c r="I23" i="12"/>
  <c r="AK22" i="12"/>
  <c r="AL22" i="12" s="1"/>
  <c r="AJ22" i="12"/>
  <c r="AH22" i="12"/>
  <c r="J22" i="12"/>
  <c r="AI22" i="12" s="1"/>
  <c r="I22" i="12"/>
  <c r="AK21" i="12"/>
  <c r="AJ21" i="12"/>
  <c r="AH21" i="12"/>
  <c r="J21" i="12"/>
  <c r="AI21" i="12" s="1"/>
  <c r="I21" i="12"/>
  <c r="AK20" i="12"/>
  <c r="AL20" i="12" s="1"/>
  <c r="AJ20" i="12"/>
  <c r="AH20" i="12"/>
  <c r="J20" i="12" s="1"/>
  <c r="AI20" i="12" s="1"/>
  <c r="I20" i="12"/>
  <c r="AK19" i="12"/>
  <c r="AJ19" i="12"/>
  <c r="AH19" i="12"/>
  <c r="J19" i="12"/>
  <c r="AI19" i="12" s="1"/>
  <c r="I19" i="12"/>
  <c r="AK18" i="12"/>
  <c r="AJ18" i="12"/>
  <c r="AH18" i="12"/>
  <c r="J18" i="12" s="1"/>
  <c r="AI18" i="12" s="1"/>
  <c r="I18" i="12"/>
  <c r="AK17" i="12"/>
  <c r="AJ17" i="12"/>
  <c r="AH17" i="12"/>
  <c r="J17" i="12"/>
  <c r="AI17" i="12" s="1"/>
  <c r="I17" i="12"/>
  <c r="AK16" i="12"/>
  <c r="AJ16" i="12"/>
  <c r="AH16" i="12"/>
  <c r="J16" i="12" s="1"/>
  <c r="AI16" i="12" s="1"/>
  <c r="I16" i="12"/>
  <c r="AK15" i="12"/>
  <c r="AJ15" i="12"/>
  <c r="AH15" i="12"/>
  <c r="J15" i="12" s="1"/>
  <c r="AI15" i="12" s="1"/>
  <c r="I15" i="12"/>
  <c r="AK14" i="12"/>
  <c r="AJ14" i="12"/>
  <c r="AH14" i="12"/>
  <c r="J14" i="12" s="1"/>
  <c r="AI14" i="12" s="1"/>
  <c r="I14" i="12"/>
  <c r="AK13" i="12"/>
  <c r="AJ13" i="12"/>
  <c r="AI13" i="12"/>
  <c r="AH13" i="12"/>
  <c r="J13" i="12" s="1"/>
  <c r="I13" i="12"/>
  <c r="AK12" i="12"/>
  <c r="AJ12" i="12"/>
  <c r="AH12" i="12"/>
  <c r="J12" i="12"/>
  <c r="AI12" i="12" s="1"/>
  <c r="I12" i="12"/>
  <c r="AK11" i="12"/>
  <c r="AJ11" i="12"/>
  <c r="AH11" i="12"/>
  <c r="J11" i="12" s="1"/>
  <c r="AI11" i="12" s="1"/>
  <c r="AL11" i="12" s="1"/>
  <c r="I11" i="12"/>
  <c r="AK10" i="12"/>
  <c r="AJ10" i="12"/>
  <c r="AH10" i="12"/>
  <c r="J10" i="12"/>
  <c r="AI10" i="12" s="1"/>
  <c r="I10" i="12"/>
  <c r="AK9" i="12"/>
  <c r="AJ9" i="12"/>
  <c r="AH9" i="12"/>
  <c r="J9" i="12"/>
  <c r="AI9" i="12" s="1"/>
  <c r="I9" i="12"/>
  <c r="AK8" i="12"/>
  <c r="AL8" i="12" s="1"/>
  <c r="AJ8" i="12"/>
  <c r="AH8" i="12"/>
  <c r="J8" i="12"/>
  <c r="AI8" i="12" s="1"/>
  <c r="I8" i="12"/>
  <c r="AK7" i="12"/>
  <c r="AJ7" i="12"/>
  <c r="AH7" i="12"/>
  <c r="J7" i="12"/>
  <c r="AI7" i="12" s="1"/>
  <c r="I7" i="12"/>
  <c r="AK6" i="12"/>
  <c r="AJ6" i="12"/>
  <c r="AI6" i="12"/>
  <c r="AH6" i="12"/>
  <c r="J6" i="12" s="1"/>
  <c r="I6" i="12"/>
  <c r="B6" i="12"/>
  <c r="A6" i="12"/>
  <c r="A9" i="12" s="1"/>
  <c r="B9" i="12" s="1"/>
  <c r="I130" i="10" l="1"/>
  <c r="AL113" i="10"/>
  <c r="AL117" i="10"/>
  <c r="AL89" i="10"/>
  <c r="J6" i="10"/>
  <c r="AH130" i="10"/>
  <c r="AL34" i="10"/>
  <c r="AL38" i="10"/>
  <c r="AL70" i="10"/>
  <c r="AL74" i="10"/>
  <c r="AL106" i="10"/>
  <c r="AL73" i="10"/>
  <c r="AL105" i="10"/>
  <c r="AL18" i="10"/>
  <c r="AL22" i="10"/>
  <c r="AL50" i="10"/>
  <c r="AL54" i="10"/>
  <c r="AL58" i="10"/>
  <c r="AL90" i="10"/>
  <c r="AL10" i="10"/>
  <c r="AL25" i="10"/>
  <c r="AL85" i="10"/>
  <c r="AL118" i="10"/>
  <c r="AL14" i="10"/>
  <c r="AL26" i="10"/>
  <c r="AL30" i="10"/>
  <c r="AL42" i="10"/>
  <c r="AL46" i="10"/>
  <c r="AL66" i="10"/>
  <c r="AL82" i="10"/>
  <c r="AL98" i="10"/>
  <c r="AL109" i="10"/>
  <c r="AL125" i="10"/>
  <c r="AL13" i="10"/>
  <c r="AL41" i="10"/>
  <c r="AL69" i="10"/>
  <c r="AL86" i="10"/>
  <c r="AL101" i="10"/>
  <c r="AL102" i="10"/>
  <c r="AL122" i="10"/>
  <c r="AL65" i="10"/>
  <c r="AL81" i="10"/>
  <c r="AL97" i="10"/>
  <c r="AL114" i="10"/>
  <c r="AL129" i="10"/>
  <c r="AL21" i="10"/>
  <c r="AL37" i="10"/>
  <c r="AL121" i="10"/>
  <c r="AL53" i="10"/>
  <c r="AL9" i="10"/>
  <c r="AL17" i="10"/>
  <c r="AL29" i="10"/>
  <c r="AL33" i="10"/>
  <c r="AL45" i="10"/>
  <c r="AL49" i="10"/>
  <c r="AL61" i="10"/>
  <c r="AL62" i="10"/>
  <c r="AL77" i="10"/>
  <c r="AL78" i="10"/>
  <c r="AL93" i="10"/>
  <c r="AL94" i="10"/>
  <c r="AL110" i="10"/>
  <c r="AL126" i="10"/>
  <c r="AL32" i="12"/>
  <c r="AL35" i="12"/>
  <c r="AL46" i="12"/>
  <c r="AL48" i="12"/>
  <c r="AL63" i="12"/>
  <c r="AL68" i="12"/>
  <c r="AL70" i="12"/>
  <c r="AL87" i="12"/>
  <c r="AL96" i="12"/>
  <c r="AL13" i="12"/>
  <c r="AL15" i="12"/>
  <c r="AL23" i="12"/>
  <c r="AL25" i="12"/>
  <c r="AL51" i="12"/>
  <c r="AL59" i="12"/>
  <c r="AL60" i="12"/>
  <c r="AL75" i="12"/>
  <c r="AL83" i="12"/>
  <c r="AL85" i="12"/>
  <c r="AL95" i="12"/>
  <c r="AL10" i="12"/>
  <c r="AL12" i="12"/>
  <c r="AL21" i="12"/>
  <c r="AL27" i="12"/>
  <c r="AL37" i="12"/>
  <c r="AL39" i="12"/>
  <c r="AL47" i="12"/>
  <c r="AL49" i="12"/>
  <c r="AL61" i="12"/>
  <c r="AL62" i="12"/>
  <c r="AL71" i="12"/>
  <c r="AL72" i="12"/>
  <c r="AL81" i="12"/>
  <c r="AL92" i="12"/>
  <c r="AJ99" i="12"/>
  <c r="AL99" i="12" s="1"/>
  <c r="AL44" i="12"/>
  <c r="AL24" i="12"/>
  <c r="AL58" i="12"/>
  <c r="AL84" i="12"/>
  <c r="AL16" i="12"/>
  <c r="AL40" i="12"/>
  <c r="AL78" i="12"/>
  <c r="AL19" i="12"/>
  <c r="AL26" i="12"/>
  <c r="AL30" i="12"/>
  <c r="AL43" i="12"/>
  <c r="AL52" i="12"/>
  <c r="AL54" i="12"/>
  <c r="AL57" i="12"/>
  <c r="AL66" i="12"/>
  <c r="AL69" i="12"/>
  <c r="AL76" i="12"/>
  <c r="AL79" i="12"/>
  <c r="AL88" i="12"/>
  <c r="AL90" i="12"/>
  <c r="AL93" i="12"/>
  <c r="AL9" i="12"/>
  <c r="AL17" i="12"/>
  <c r="AL28" i="12"/>
  <c r="AL33" i="12"/>
  <c r="AL41" i="12"/>
  <c r="AL53" i="12"/>
  <c r="AL55" i="12"/>
  <c r="AL64" i="12"/>
  <c r="AL67" i="12"/>
  <c r="AL77" i="12"/>
  <c r="AL89" i="12"/>
  <c r="AL91" i="12"/>
  <c r="AL7" i="12"/>
  <c r="A12" i="12"/>
  <c r="AL14" i="12"/>
  <c r="AL18" i="12"/>
  <c r="AL31" i="12"/>
  <c r="AL38" i="12"/>
  <c r="AL42" i="12"/>
  <c r="AL50" i="12"/>
  <c r="AL65" i="12"/>
  <c r="AL86" i="12"/>
  <c r="AL98" i="12"/>
  <c r="AI6" i="10" l="1"/>
  <c r="J130" i="10"/>
  <c r="AI130" i="10" s="1"/>
  <c r="AL130" i="10" s="1"/>
  <c r="B12" i="12"/>
  <c r="A15" i="12"/>
  <c r="A18" i="12" l="1"/>
  <c r="B15" i="12"/>
  <c r="A21" i="12" l="1"/>
  <c r="B18" i="12"/>
  <c r="B21" i="12" l="1"/>
  <c r="A24" i="12"/>
  <c r="B24" i="12" l="1"/>
  <c r="A27" i="12"/>
  <c r="A30" i="12" l="1"/>
  <c r="B27" i="12"/>
  <c r="A33" i="12" l="1"/>
  <c r="B30" i="12"/>
  <c r="B33" i="12" l="1"/>
  <c r="A36" i="12"/>
  <c r="B36" i="12" l="1"/>
  <c r="A39" i="12"/>
  <c r="A42" i="12" l="1"/>
  <c r="B39" i="12"/>
  <c r="A45" i="12" l="1"/>
  <c r="B42" i="12"/>
  <c r="B45" i="12" l="1"/>
  <c r="A48" i="12"/>
  <c r="B48" i="12" l="1"/>
  <c r="A51" i="12"/>
  <c r="A54" i="12" l="1"/>
  <c r="B51" i="12"/>
  <c r="A57" i="12" l="1"/>
  <c r="B54" i="12"/>
  <c r="B57" i="12" l="1"/>
  <c r="A60" i="12"/>
  <c r="B60" i="12" l="1"/>
  <c r="A63" i="12"/>
  <c r="A66" i="12" l="1"/>
  <c r="B63" i="12"/>
  <c r="A69" i="12" l="1"/>
  <c r="B66" i="12"/>
  <c r="B69" i="12" l="1"/>
  <c r="A72" i="12"/>
  <c r="B72" i="12" l="1"/>
  <c r="A75" i="12"/>
  <c r="A78" i="12" l="1"/>
  <c r="B75" i="12"/>
  <c r="A81" i="12" l="1"/>
  <c r="B78" i="12"/>
  <c r="B81" i="12" l="1"/>
  <c r="A84" i="12"/>
  <c r="B84" i="12" l="1"/>
  <c r="A87" i="12"/>
  <c r="A90" i="12" l="1"/>
  <c r="B87" i="12"/>
  <c r="A93" i="12" l="1"/>
  <c r="B90" i="12"/>
  <c r="B93" i="12" l="1"/>
  <c r="A96" i="12"/>
  <c r="B96" i="12" s="1"/>
  <c r="AM3" i="8" l="1"/>
  <c r="A6" i="8" s="1"/>
  <c r="B6" i="8" s="1"/>
  <c r="E68" i="8"/>
  <c r="AG68" i="8"/>
  <c r="AF68" i="8"/>
  <c r="AE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H68" i="8"/>
  <c r="G68" i="8"/>
  <c r="F68" i="8"/>
  <c r="AK68" i="8" s="1"/>
  <c r="AK67" i="8"/>
  <c r="AJ67" i="8"/>
  <c r="AH67" i="8"/>
  <c r="J67" i="8"/>
  <c r="AI67" i="8" s="1"/>
  <c r="I67" i="8"/>
  <c r="AK66" i="8"/>
  <c r="AJ66" i="8"/>
  <c r="AH66" i="8"/>
  <c r="J66" i="8" s="1"/>
  <c r="AI66" i="8" s="1"/>
  <c r="I66" i="8"/>
  <c r="AK65" i="8"/>
  <c r="AJ65" i="8"/>
  <c r="AH65" i="8"/>
  <c r="J65" i="8"/>
  <c r="AI65" i="8" s="1"/>
  <c r="I65" i="8"/>
  <c r="AK64" i="8"/>
  <c r="AL64" i="8" s="1"/>
  <c r="AJ64" i="8"/>
  <c r="AH64" i="8"/>
  <c r="J64" i="8" s="1"/>
  <c r="AI64" i="8" s="1"/>
  <c r="I64" i="8"/>
  <c r="AK63" i="8"/>
  <c r="AJ63" i="8"/>
  <c r="AH63" i="8"/>
  <c r="J63" i="8" s="1"/>
  <c r="AI63" i="8" s="1"/>
  <c r="I63" i="8"/>
  <c r="AK62" i="8"/>
  <c r="AJ62" i="8"/>
  <c r="AH62" i="8"/>
  <c r="J62" i="8" s="1"/>
  <c r="AI62" i="8" s="1"/>
  <c r="I62" i="8"/>
  <c r="AK61" i="8"/>
  <c r="AJ61" i="8"/>
  <c r="AH61" i="8"/>
  <c r="J61" i="8" s="1"/>
  <c r="AI61" i="8" s="1"/>
  <c r="I61" i="8"/>
  <c r="AK60" i="8"/>
  <c r="AJ60" i="8"/>
  <c r="AH60" i="8"/>
  <c r="J60" i="8" s="1"/>
  <c r="AI60" i="8" s="1"/>
  <c r="I60" i="8"/>
  <c r="AK59" i="8"/>
  <c r="AJ59" i="8"/>
  <c r="AH59" i="8"/>
  <c r="J59" i="8" s="1"/>
  <c r="AI59" i="8" s="1"/>
  <c r="I59" i="8"/>
  <c r="AK58" i="8"/>
  <c r="AJ58" i="8"/>
  <c r="AH58" i="8"/>
  <c r="J58" i="8" s="1"/>
  <c r="AI58" i="8" s="1"/>
  <c r="I58" i="8"/>
  <c r="AK57" i="8"/>
  <c r="AJ57" i="8"/>
  <c r="AH57" i="8"/>
  <c r="J57" i="8"/>
  <c r="AI57" i="8" s="1"/>
  <c r="I57" i="8"/>
  <c r="AK56" i="8"/>
  <c r="AJ56" i="8"/>
  <c r="AH56" i="8"/>
  <c r="J56" i="8" s="1"/>
  <c r="AI56" i="8" s="1"/>
  <c r="I56" i="8"/>
  <c r="AK55" i="8"/>
  <c r="AJ55" i="8"/>
  <c r="AH55" i="8"/>
  <c r="J55" i="8" s="1"/>
  <c r="AI55" i="8" s="1"/>
  <c r="I55" i="8"/>
  <c r="AK54" i="8"/>
  <c r="AJ54" i="8"/>
  <c r="AH54" i="8"/>
  <c r="J54" i="8" s="1"/>
  <c r="AI54" i="8" s="1"/>
  <c r="I54" i="8"/>
  <c r="AK53" i="8"/>
  <c r="AJ53" i="8"/>
  <c r="AH53" i="8"/>
  <c r="J53" i="8" s="1"/>
  <c r="AI53" i="8" s="1"/>
  <c r="I53" i="8"/>
  <c r="AK52" i="8"/>
  <c r="AJ52" i="8"/>
  <c r="AH52" i="8"/>
  <c r="J52" i="8" s="1"/>
  <c r="AI52" i="8" s="1"/>
  <c r="I52" i="8"/>
  <c r="AK51" i="8"/>
  <c r="AJ51" i="8"/>
  <c r="AH51" i="8"/>
  <c r="J51" i="8"/>
  <c r="AI51" i="8" s="1"/>
  <c r="I51" i="8"/>
  <c r="AK50" i="8"/>
  <c r="AJ50" i="8"/>
  <c r="AH50" i="8"/>
  <c r="J50" i="8" s="1"/>
  <c r="AI50" i="8" s="1"/>
  <c r="I50" i="8"/>
  <c r="AK49" i="8"/>
  <c r="AJ49" i="8"/>
  <c r="AH49" i="8"/>
  <c r="J49" i="8" s="1"/>
  <c r="AI49" i="8" s="1"/>
  <c r="I49" i="8"/>
  <c r="AK48" i="8"/>
  <c r="AJ48" i="8"/>
  <c r="AH48" i="8"/>
  <c r="J48" i="8" s="1"/>
  <c r="AI48" i="8" s="1"/>
  <c r="I48" i="8"/>
  <c r="AK47" i="8"/>
  <c r="AJ47" i="8"/>
  <c r="AH47" i="8"/>
  <c r="J47" i="8" s="1"/>
  <c r="AI47" i="8" s="1"/>
  <c r="I47" i="8"/>
  <c r="AK46" i="8"/>
  <c r="AJ46" i="8"/>
  <c r="AH46" i="8"/>
  <c r="J46" i="8" s="1"/>
  <c r="AI46" i="8" s="1"/>
  <c r="I46" i="8"/>
  <c r="AK45" i="8"/>
  <c r="AJ45" i="8"/>
  <c r="AH45" i="8"/>
  <c r="J45" i="8" s="1"/>
  <c r="AI45" i="8" s="1"/>
  <c r="I45" i="8"/>
  <c r="AK44" i="8"/>
  <c r="AL44" i="8" s="1"/>
  <c r="AJ44" i="8"/>
  <c r="AH44" i="8"/>
  <c r="J44" i="8" s="1"/>
  <c r="AI44" i="8" s="1"/>
  <c r="I44" i="8"/>
  <c r="AK43" i="8"/>
  <c r="AJ43" i="8"/>
  <c r="AH43" i="8"/>
  <c r="J43" i="8"/>
  <c r="AI43" i="8" s="1"/>
  <c r="I43" i="8"/>
  <c r="I68" i="8" s="1"/>
  <c r="AK42" i="8"/>
  <c r="AJ42" i="8"/>
  <c r="AH42" i="8"/>
  <c r="J42" i="8" s="1"/>
  <c r="AI42" i="8" s="1"/>
  <c r="I42" i="8"/>
  <c r="AK41" i="8"/>
  <c r="AJ41" i="8"/>
  <c r="AH41" i="8"/>
  <c r="J41" i="8" s="1"/>
  <c r="AI41" i="8" s="1"/>
  <c r="I41" i="8"/>
  <c r="AK40" i="8"/>
  <c r="AJ40" i="8"/>
  <c r="AH40" i="8"/>
  <c r="J40" i="8" s="1"/>
  <c r="AI40" i="8" s="1"/>
  <c r="I40" i="8"/>
  <c r="AK39" i="8"/>
  <c r="AJ39" i="8"/>
  <c r="AH39" i="8"/>
  <c r="J39" i="8" s="1"/>
  <c r="AI39" i="8" s="1"/>
  <c r="I39" i="8"/>
  <c r="AK38" i="8"/>
  <c r="AJ38" i="8"/>
  <c r="AH38" i="8"/>
  <c r="J38" i="8" s="1"/>
  <c r="AI38" i="8" s="1"/>
  <c r="I38" i="8"/>
  <c r="AK37" i="8"/>
  <c r="AJ37" i="8"/>
  <c r="AH37" i="8"/>
  <c r="J37" i="8"/>
  <c r="AI37" i="8" s="1"/>
  <c r="I37" i="8"/>
  <c r="AK36" i="8"/>
  <c r="AJ36" i="8"/>
  <c r="AH36" i="8"/>
  <c r="J36" i="8" s="1"/>
  <c r="AI36" i="8" s="1"/>
  <c r="I36" i="8"/>
  <c r="AK35" i="8"/>
  <c r="AJ35" i="8"/>
  <c r="AH35" i="8"/>
  <c r="J35" i="8" s="1"/>
  <c r="AI35" i="8" s="1"/>
  <c r="I35" i="8"/>
  <c r="AK34" i="8"/>
  <c r="AJ34" i="8"/>
  <c r="AH34" i="8"/>
  <c r="J34" i="8" s="1"/>
  <c r="AI34" i="8" s="1"/>
  <c r="I34" i="8"/>
  <c r="AK33" i="8"/>
  <c r="AJ33" i="8"/>
  <c r="AH33" i="8"/>
  <c r="J33" i="8"/>
  <c r="AI33" i="8" s="1"/>
  <c r="I33" i="8"/>
  <c r="AK32" i="8"/>
  <c r="AJ32" i="8"/>
  <c r="AL32" i="8" s="1"/>
  <c r="AH32" i="8"/>
  <c r="J32" i="8" s="1"/>
  <c r="AI32" i="8" s="1"/>
  <c r="I32" i="8"/>
  <c r="AK31" i="8"/>
  <c r="AJ31" i="8"/>
  <c r="AH31" i="8"/>
  <c r="J31" i="8" s="1"/>
  <c r="AI31" i="8" s="1"/>
  <c r="I31" i="8"/>
  <c r="AK30" i="8"/>
  <c r="AJ30" i="8"/>
  <c r="AH30" i="8"/>
  <c r="J30" i="8" s="1"/>
  <c r="AI30" i="8" s="1"/>
  <c r="I30" i="8"/>
  <c r="AK29" i="8"/>
  <c r="AJ29" i="8"/>
  <c r="AH29" i="8"/>
  <c r="J29" i="8" s="1"/>
  <c r="AI29" i="8" s="1"/>
  <c r="I29" i="8"/>
  <c r="AK28" i="8"/>
  <c r="AJ28" i="8"/>
  <c r="AH28" i="8"/>
  <c r="J28" i="8" s="1"/>
  <c r="AI28" i="8" s="1"/>
  <c r="I28" i="8"/>
  <c r="AK27" i="8"/>
  <c r="AJ27" i="8"/>
  <c r="AH27" i="8"/>
  <c r="J27" i="8" s="1"/>
  <c r="AI27" i="8" s="1"/>
  <c r="I27" i="8"/>
  <c r="AK26" i="8"/>
  <c r="AJ26" i="8"/>
  <c r="AH26" i="8"/>
  <c r="J26" i="8" s="1"/>
  <c r="AI26" i="8" s="1"/>
  <c r="I26" i="8"/>
  <c r="AK25" i="8"/>
  <c r="AJ25" i="8"/>
  <c r="AH25" i="8"/>
  <c r="J25" i="8" s="1"/>
  <c r="AI25" i="8" s="1"/>
  <c r="I25" i="8"/>
  <c r="AK24" i="8"/>
  <c r="AJ24" i="8"/>
  <c r="AH24" i="8"/>
  <c r="J24" i="8" s="1"/>
  <c r="AI24" i="8" s="1"/>
  <c r="I24" i="8"/>
  <c r="AK23" i="8"/>
  <c r="AJ23" i="8"/>
  <c r="AH23" i="8"/>
  <c r="J23" i="8" s="1"/>
  <c r="AI23" i="8" s="1"/>
  <c r="I23" i="8"/>
  <c r="AK22" i="8"/>
  <c r="AJ22" i="8"/>
  <c r="AH22" i="8"/>
  <c r="J22" i="8" s="1"/>
  <c r="AI22" i="8" s="1"/>
  <c r="I22" i="8"/>
  <c r="AK21" i="8"/>
  <c r="AJ21" i="8"/>
  <c r="AH21" i="8"/>
  <c r="J21" i="8" s="1"/>
  <c r="AI21" i="8" s="1"/>
  <c r="I21" i="8"/>
  <c r="AK20" i="8"/>
  <c r="AJ20" i="8"/>
  <c r="AH20" i="8"/>
  <c r="J20" i="8" s="1"/>
  <c r="AI20" i="8" s="1"/>
  <c r="I20" i="8"/>
  <c r="AK19" i="8"/>
  <c r="AJ19" i="8"/>
  <c r="AH19" i="8"/>
  <c r="J19" i="8"/>
  <c r="AI19" i="8" s="1"/>
  <c r="AK18" i="8"/>
  <c r="AJ18" i="8"/>
  <c r="AH18" i="8"/>
  <c r="J18" i="8"/>
  <c r="AI18" i="8" s="1"/>
  <c r="AK17" i="8"/>
  <c r="AJ17" i="8"/>
  <c r="AH17" i="8"/>
  <c r="J17" i="8"/>
  <c r="AI17" i="8" s="1"/>
  <c r="I17" i="8"/>
  <c r="AK16" i="8"/>
  <c r="AJ16" i="8"/>
  <c r="AH16" i="8"/>
  <c r="J16" i="8"/>
  <c r="AI16" i="8" s="1"/>
  <c r="I16" i="8"/>
  <c r="AK15" i="8"/>
  <c r="AJ15" i="8"/>
  <c r="AH15" i="8"/>
  <c r="J15" i="8" s="1"/>
  <c r="AI15" i="8" s="1"/>
  <c r="I15" i="8"/>
  <c r="AK14" i="8"/>
  <c r="AJ14" i="8"/>
  <c r="AH14" i="8"/>
  <c r="J14" i="8" s="1"/>
  <c r="AI14" i="8" s="1"/>
  <c r="I14" i="8"/>
  <c r="AK13" i="8"/>
  <c r="AJ13" i="8"/>
  <c r="AH13" i="8"/>
  <c r="J13" i="8" s="1"/>
  <c r="AI13" i="8" s="1"/>
  <c r="I13" i="8"/>
  <c r="AK12" i="8"/>
  <c r="AJ12" i="8"/>
  <c r="AH12" i="8"/>
  <c r="J12" i="8" s="1"/>
  <c r="AI12" i="8" s="1"/>
  <c r="I12" i="8"/>
  <c r="AK11" i="8"/>
  <c r="AJ11" i="8"/>
  <c r="AH11" i="8"/>
  <c r="J11" i="8" s="1"/>
  <c r="AI11" i="8" s="1"/>
  <c r="I11" i="8"/>
  <c r="AK10" i="8"/>
  <c r="AJ10" i="8"/>
  <c r="AH10" i="8"/>
  <c r="J10" i="8" s="1"/>
  <c r="AI10" i="8" s="1"/>
  <c r="I10" i="8"/>
  <c r="AK9" i="8"/>
  <c r="AJ9" i="8"/>
  <c r="AH9" i="8"/>
  <c r="J9" i="8"/>
  <c r="AI9" i="8" s="1"/>
  <c r="I9" i="8"/>
  <c r="AK8" i="8"/>
  <c r="AJ8" i="8"/>
  <c r="AH8" i="8"/>
  <c r="AH68" i="8" s="1"/>
  <c r="J8" i="8"/>
  <c r="AI8" i="8" s="1"/>
  <c r="I8" i="8"/>
  <c r="AK7" i="8"/>
  <c r="AJ7" i="8"/>
  <c r="AH7" i="8"/>
  <c r="J7" i="8" s="1"/>
  <c r="AI7" i="8" s="1"/>
  <c r="I7" i="8"/>
  <c r="AK6" i="8"/>
  <c r="AJ6" i="8"/>
  <c r="AH6" i="8"/>
  <c r="I6" i="8"/>
  <c r="B6" i="11"/>
  <c r="E162" i="6"/>
  <c r="AK162" i="6"/>
  <c r="AJ162" i="6"/>
  <c r="AI162" i="6"/>
  <c r="AH162" i="6"/>
  <c r="AG162" i="6"/>
  <c r="AF162" i="6"/>
  <c r="AE162" i="6"/>
  <c r="AD162" i="6"/>
  <c r="AC162" i="6"/>
  <c r="AB162" i="6"/>
  <c r="AA162" i="6"/>
  <c r="Z162" i="6"/>
  <c r="Y162" i="6"/>
  <c r="X162" i="6"/>
  <c r="W162" i="6"/>
  <c r="V162" i="6"/>
  <c r="U162" i="6"/>
  <c r="T162" i="6"/>
  <c r="S162" i="6"/>
  <c r="R162" i="6"/>
  <c r="Q162" i="6"/>
  <c r="P162" i="6"/>
  <c r="O162" i="6"/>
  <c r="N162" i="6"/>
  <c r="M162" i="6"/>
  <c r="L162" i="6"/>
  <c r="K162" i="6"/>
  <c r="J162" i="6"/>
  <c r="AL162" i="6" s="1"/>
  <c r="I162" i="6"/>
  <c r="H162" i="6"/>
  <c r="G162" i="6"/>
  <c r="F162" i="6"/>
  <c r="AN162" i="6" s="1"/>
  <c r="AN161" i="6"/>
  <c r="AM161" i="6"/>
  <c r="AL161" i="6"/>
  <c r="AK161" i="6"/>
  <c r="J161" i="6"/>
  <c r="I161" i="6"/>
  <c r="AO160" i="6"/>
  <c r="AN160" i="6"/>
  <c r="AM160" i="6"/>
  <c r="AK160" i="6"/>
  <c r="J160" i="6" s="1"/>
  <c r="AL160" i="6" s="1"/>
  <c r="I160" i="6"/>
  <c r="AN159" i="6"/>
  <c r="AO159" i="6" s="1"/>
  <c r="AM159" i="6"/>
  <c r="AL159" i="6"/>
  <c r="AK159" i="6"/>
  <c r="J159" i="6"/>
  <c r="I159" i="6"/>
  <c r="AN158" i="6"/>
  <c r="AM158" i="6"/>
  <c r="AK158" i="6"/>
  <c r="J158" i="6"/>
  <c r="AL158" i="6" s="1"/>
  <c r="AO158" i="6" s="1"/>
  <c r="I158" i="6"/>
  <c r="AN157" i="6"/>
  <c r="AM157" i="6"/>
  <c r="AL157" i="6"/>
  <c r="AK157" i="6"/>
  <c r="J157" i="6"/>
  <c r="I157" i="6"/>
  <c r="AN156" i="6"/>
  <c r="AM156" i="6"/>
  <c r="AO156" i="6" s="1"/>
  <c r="AK156" i="6"/>
  <c r="J156" i="6" s="1"/>
  <c r="AL156" i="6" s="1"/>
  <c r="I156" i="6"/>
  <c r="AN155" i="6"/>
  <c r="AM155" i="6"/>
  <c r="AK155" i="6"/>
  <c r="J155" i="6"/>
  <c r="AL155" i="6" s="1"/>
  <c r="I155" i="6"/>
  <c r="AN154" i="6"/>
  <c r="AM154" i="6"/>
  <c r="AL154" i="6"/>
  <c r="AK154" i="6"/>
  <c r="J154" i="6" s="1"/>
  <c r="I154" i="6"/>
  <c r="AN153" i="6"/>
  <c r="AO153" i="6" s="1"/>
  <c r="AM153" i="6"/>
  <c r="AK153" i="6"/>
  <c r="J153" i="6" s="1"/>
  <c r="AL153" i="6" s="1"/>
  <c r="I153" i="6"/>
  <c r="AN152" i="6"/>
  <c r="AM152" i="6"/>
  <c r="AK152" i="6"/>
  <c r="J152" i="6" s="1"/>
  <c r="AL152" i="6" s="1"/>
  <c r="I152" i="6"/>
  <c r="AN151" i="6"/>
  <c r="AM151" i="6"/>
  <c r="AK151" i="6"/>
  <c r="J151" i="6" s="1"/>
  <c r="AL151" i="6" s="1"/>
  <c r="AO151" i="6" s="1"/>
  <c r="I151" i="6"/>
  <c r="AN150" i="6"/>
  <c r="AM150" i="6"/>
  <c r="AK150" i="6"/>
  <c r="J150" i="6" s="1"/>
  <c r="AL150" i="6" s="1"/>
  <c r="AO150" i="6" s="1"/>
  <c r="I150" i="6"/>
  <c r="AN149" i="6"/>
  <c r="AM149" i="6"/>
  <c r="AL149" i="6"/>
  <c r="AK149" i="6"/>
  <c r="J149" i="6"/>
  <c r="I149" i="6"/>
  <c r="AN148" i="6"/>
  <c r="AM148" i="6"/>
  <c r="AL148" i="6"/>
  <c r="AO148" i="6" s="1"/>
  <c r="AK148" i="6"/>
  <c r="J148" i="6" s="1"/>
  <c r="I148" i="6"/>
  <c r="AN147" i="6"/>
  <c r="AO147" i="6" s="1"/>
  <c r="AM147" i="6"/>
  <c r="AK147" i="6"/>
  <c r="J147" i="6"/>
  <c r="AL147" i="6" s="1"/>
  <c r="I147" i="6"/>
  <c r="AO146" i="6"/>
  <c r="AN146" i="6"/>
  <c r="AM146" i="6"/>
  <c r="AK146" i="6"/>
  <c r="J146" i="6" s="1"/>
  <c r="AL146" i="6" s="1"/>
  <c r="I146" i="6"/>
  <c r="AN145" i="6"/>
  <c r="AM145" i="6"/>
  <c r="AK145" i="6"/>
  <c r="J145" i="6" s="1"/>
  <c r="AL145" i="6" s="1"/>
  <c r="AO145" i="6" s="1"/>
  <c r="I145" i="6"/>
  <c r="AN144" i="6"/>
  <c r="AM144" i="6"/>
  <c r="AK144" i="6"/>
  <c r="J144" i="6"/>
  <c r="AL144" i="6" s="1"/>
  <c r="AO144" i="6" s="1"/>
  <c r="I144" i="6"/>
  <c r="AN143" i="6"/>
  <c r="AM143" i="6"/>
  <c r="AL143" i="6"/>
  <c r="AK143" i="6"/>
  <c r="J143" i="6"/>
  <c r="I143" i="6"/>
  <c r="AN142" i="6"/>
  <c r="AM142" i="6"/>
  <c r="AK142" i="6"/>
  <c r="J142" i="6" s="1"/>
  <c r="AL142" i="6" s="1"/>
  <c r="AO142" i="6" s="1"/>
  <c r="I142" i="6"/>
  <c r="AN141" i="6"/>
  <c r="AM141" i="6"/>
  <c r="AK141" i="6"/>
  <c r="J141" i="6"/>
  <c r="AL141" i="6" s="1"/>
  <c r="I141" i="6"/>
  <c r="AN140" i="6"/>
  <c r="AM140" i="6"/>
  <c r="AO140" i="6" s="1"/>
  <c r="AL140" i="6"/>
  <c r="AK140" i="6"/>
  <c r="J140" i="6" s="1"/>
  <c r="I140" i="6"/>
  <c r="AN139" i="6"/>
  <c r="AM139" i="6"/>
  <c r="AK139" i="6"/>
  <c r="J139" i="6" s="1"/>
  <c r="AL139" i="6" s="1"/>
  <c r="AO139" i="6" s="1"/>
  <c r="I139" i="6"/>
  <c r="AN138" i="6"/>
  <c r="AO138" i="6" s="1"/>
  <c r="AM138" i="6"/>
  <c r="AK138" i="6"/>
  <c r="J138" i="6"/>
  <c r="AL138" i="6" s="1"/>
  <c r="I138" i="6"/>
  <c r="AN137" i="6"/>
  <c r="AM137" i="6"/>
  <c r="AL137" i="6"/>
  <c r="AK137" i="6"/>
  <c r="J137" i="6"/>
  <c r="I137" i="6"/>
  <c r="AN136" i="6"/>
  <c r="AM136" i="6"/>
  <c r="AK136" i="6"/>
  <c r="J136" i="6"/>
  <c r="AL136" i="6" s="1"/>
  <c r="AO136" i="6" s="1"/>
  <c r="I136" i="6"/>
  <c r="AN135" i="6"/>
  <c r="AM135" i="6"/>
  <c r="AL135" i="6"/>
  <c r="AK135" i="6"/>
  <c r="J135" i="6"/>
  <c r="I135" i="6"/>
  <c r="AN134" i="6"/>
  <c r="AM134" i="6"/>
  <c r="AK134" i="6"/>
  <c r="J134" i="6" s="1"/>
  <c r="AL134" i="6" s="1"/>
  <c r="AO134" i="6" s="1"/>
  <c r="I134" i="6"/>
  <c r="AN133" i="6"/>
  <c r="AO133" i="6" s="1"/>
  <c r="AM133" i="6"/>
  <c r="AK133" i="6"/>
  <c r="J133" i="6"/>
  <c r="AL133" i="6" s="1"/>
  <c r="I133" i="6"/>
  <c r="AN132" i="6"/>
  <c r="AM132" i="6"/>
  <c r="AK132" i="6"/>
  <c r="J132" i="6" s="1"/>
  <c r="AL132" i="6" s="1"/>
  <c r="I132" i="6"/>
  <c r="AN131" i="6"/>
  <c r="AM131" i="6"/>
  <c r="AK131" i="6"/>
  <c r="J131" i="6" s="1"/>
  <c r="AL131" i="6" s="1"/>
  <c r="AO131" i="6" s="1"/>
  <c r="I131" i="6"/>
  <c r="AN130" i="6"/>
  <c r="AM130" i="6"/>
  <c r="AK130" i="6"/>
  <c r="J130" i="6"/>
  <c r="AL130" i="6" s="1"/>
  <c r="AO130" i="6" s="1"/>
  <c r="I130" i="6"/>
  <c r="AN129" i="6"/>
  <c r="AM129" i="6"/>
  <c r="AL129" i="6"/>
  <c r="AK129" i="6"/>
  <c r="J129" i="6"/>
  <c r="I129" i="6"/>
  <c r="AO128" i="6"/>
  <c r="AN128" i="6"/>
  <c r="AM128" i="6"/>
  <c r="AK128" i="6"/>
  <c r="J128" i="6" s="1"/>
  <c r="AL128" i="6" s="1"/>
  <c r="I128" i="6"/>
  <c r="AN127" i="6"/>
  <c r="AM127" i="6"/>
  <c r="AK127" i="6"/>
  <c r="J127" i="6" s="1"/>
  <c r="AL127" i="6" s="1"/>
  <c r="AO127" i="6" s="1"/>
  <c r="I127" i="6"/>
  <c r="AN126" i="6"/>
  <c r="AM126" i="6"/>
  <c r="AO126" i="6" s="1"/>
  <c r="AL126" i="6"/>
  <c r="AK126" i="6"/>
  <c r="J126" i="6" s="1"/>
  <c r="I126" i="6"/>
  <c r="AN125" i="6"/>
  <c r="AM125" i="6"/>
  <c r="AK125" i="6"/>
  <c r="J125" i="6" s="1"/>
  <c r="AL125" i="6" s="1"/>
  <c r="AO125" i="6" s="1"/>
  <c r="I125" i="6"/>
  <c r="AN124" i="6"/>
  <c r="AO124" i="6" s="1"/>
  <c r="AM124" i="6"/>
  <c r="AK124" i="6"/>
  <c r="J124" i="6"/>
  <c r="AL124" i="6" s="1"/>
  <c r="I124" i="6"/>
  <c r="AN123" i="6"/>
  <c r="AM123" i="6"/>
  <c r="AL123" i="6"/>
  <c r="AK123" i="6"/>
  <c r="J123" i="6"/>
  <c r="I123" i="6"/>
  <c r="AO122" i="6"/>
  <c r="AN122" i="6"/>
  <c r="AM122" i="6"/>
  <c r="AK122" i="6"/>
  <c r="J122" i="6" s="1"/>
  <c r="AL122" i="6" s="1"/>
  <c r="I122" i="6"/>
  <c r="AN121" i="6"/>
  <c r="AM121" i="6"/>
  <c r="AK121" i="6"/>
  <c r="J121" i="6"/>
  <c r="AL121" i="6" s="1"/>
  <c r="I121" i="6"/>
  <c r="AN120" i="6"/>
  <c r="AM120" i="6"/>
  <c r="AL120" i="6"/>
  <c r="AK120" i="6"/>
  <c r="J120" i="6" s="1"/>
  <c r="I120" i="6"/>
  <c r="AN119" i="6"/>
  <c r="AO119" i="6" s="1"/>
  <c r="AM119" i="6"/>
  <c r="AK119" i="6"/>
  <c r="J119" i="6" s="1"/>
  <c r="AL119" i="6" s="1"/>
  <c r="I119" i="6"/>
  <c r="AN118" i="6"/>
  <c r="AM118" i="6"/>
  <c r="AK118" i="6"/>
  <c r="J118" i="6" s="1"/>
  <c r="AL118" i="6" s="1"/>
  <c r="I118" i="6"/>
  <c r="AN117" i="6"/>
  <c r="AO117" i="6" s="1"/>
  <c r="AM117" i="6"/>
  <c r="AK117" i="6"/>
  <c r="J117" i="6"/>
  <c r="AL117" i="6" s="1"/>
  <c r="I117" i="6"/>
  <c r="AN116" i="6"/>
  <c r="AM116" i="6"/>
  <c r="AK116" i="6"/>
  <c r="J116" i="6"/>
  <c r="AL116" i="6" s="1"/>
  <c r="AO116" i="6" s="1"/>
  <c r="I116" i="6"/>
  <c r="AN115" i="6"/>
  <c r="AM115" i="6"/>
  <c r="AL115" i="6"/>
  <c r="AK115" i="6"/>
  <c r="J115" i="6"/>
  <c r="I115" i="6"/>
  <c r="AO114" i="6"/>
  <c r="AN114" i="6"/>
  <c r="AM114" i="6"/>
  <c r="AK114" i="6"/>
  <c r="J114" i="6" s="1"/>
  <c r="AL114" i="6" s="1"/>
  <c r="I114" i="6"/>
  <c r="AN113" i="6"/>
  <c r="AM113" i="6"/>
  <c r="AK113" i="6"/>
  <c r="J113" i="6" s="1"/>
  <c r="AL113" i="6" s="1"/>
  <c r="AO113" i="6" s="1"/>
  <c r="I113" i="6"/>
  <c r="AN112" i="6"/>
  <c r="AM112" i="6"/>
  <c r="AK112" i="6"/>
  <c r="J112" i="6"/>
  <c r="AL112" i="6" s="1"/>
  <c r="AO112" i="6" s="1"/>
  <c r="I112" i="6"/>
  <c r="AN110" i="6"/>
  <c r="AM110" i="6"/>
  <c r="AK110" i="6"/>
  <c r="J110" i="6"/>
  <c r="AL110" i="6" s="1"/>
  <c r="AO110" i="6" s="1"/>
  <c r="I110" i="6"/>
  <c r="AN109" i="6"/>
  <c r="AM109" i="6"/>
  <c r="AK109" i="6"/>
  <c r="J109" i="6" s="1"/>
  <c r="AL109" i="6" s="1"/>
  <c r="I109" i="6"/>
  <c r="AN108" i="6"/>
  <c r="AO108" i="6" s="1"/>
  <c r="AM108" i="6"/>
  <c r="AK108" i="6"/>
  <c r="J108" i="6"/>
  <c r="AL108" i="6" s="1"/>
  <c r="I108" i="6"/>
  <c r="AN107" i="6"/>
  <c r="AM107" i="6"/>
  <c r="AO107" i="6" s="1"/>
  <c r="AL107" i="6"/>
  <c r="AK107" i="6"/>
  <c r="J107" i="6" s="1"/>
  <c r="I107" i="6"/>
  <c r="AN106" i="6"/>
  <c r="AM106" i="6"/>
  <c r="AK106" i="6"/>
  <c r="J106" i="6" s="1"/>
  <c r="AL106" i="6" s="1"/>
  <c r="AO106" i="6" s="1"/>
  <c r="I106" i="6"/>
  <c r="AN105" i="6"/>
  <c r="AM105" i="6"/>
  <c r="AL105" i="6"/>
  <c r="AK105" i="6"/>
  <c r="J105" i="6" s="1"/>
  <c r="I105" i="6"/>
  <c r="AN104" i="6"/>
  <c r="AM104" i="6"/>
  <c r="AK104" i="6"/>
  <c r="J104" i="6" s="1"/>
  <c r="AL104" i="6" s="1"/>
  <c r="I104" i="6"/>
  <c r="AN103" i="6"/>
  <c r="AM103" i="6"/>
  <c r="AK103" i="6"/>
  <c r="J103" i="6" s="1"/>
  <c r="AL103" i="6" s="1"/>
  <c r="I103" i="6"/>
  <c r="AN102" i="6"/>
  <c r="AO102" i="6" s="1"/>
  <c r="AM102" i="6"/>
  <c r="AK102" i="6"/>
  <c r="J102" i="6"/>
  <c r="AL102" i="6" s="1"/>
  <c r="I102" i="6"/>
  <c r="AN101" i="6"/>
  <c r="AM101" i="6"/>
  <c r="AO101" i="6" s="1"/>
  <c r="AL101" i="6"/>
  <c r="AK101" i="6"/>
  <c r="J101" i="6" s="1"/>
  <c r="I101" i="6"/>
  <c r="AN100" i="6"/>
  <c r="AM100" i="6"/>
  <c r="AL100" i="6"/>
  <c r="AK100" i="6"/>
  <c r="J100" i="6"/>
  <c r="I100" i="6"/>
  <c r="AN99" i="6"/>
  <c r="AM99" i="6"/>
  <c r="AK99" i="6"/>
  <c r="J99" i="6" s="1"/>
  <c r="AL99" i="6" s="1"/>
  <c r="AO99" i="6" s="1"/>
  <c r="I99" i="6"/>
  <c r="AN98" i="6"/>
  <c r="AO98" i="6" s="1"/>
  <c r="AM98" i="6"/>
  <c r="AK98" i="6"/>
  <c r="J98" i="6"/>
  <c r="AL98" i="6" s="1"/>
  <c r="I98" i="6"/>
  <c r="AN97" i="6"/>
  <c r="AM97" i="6"/>
  <c r="AO97" i="6" s="1"/>
  <c r="AK97" i="6"/>
  <c r="J97" i="6" s="1"/>
  <c r="AL97" i="6" s="1"/>
  <c r="I97" i="6"/>
  <c r="AN96" i="6"/>
  <c r="AM96" i="6"/>
  <c r="AK96" i="6"/>
  <c r="J96" i="6"/>
  <c r="AL96" i="6" s="1"/>
  <c r="I96" i="6"/>
  <c r="AN95" i="6"/>
  <c r="AO95" i="6" s="1"/>
  <c r="AM95" i="6"/>
  <c r="AK95" i="6"/>
  <c r="J95" i="6" s="1"/>
  <c r="AL95" i="6" s="1"/>
  <c r="I95" i="6"/>
  <c r="AN94" i="6"/>
  <c r="AO94" i="6" s="1"/>
  <c r="AM94" i="6"/>
  <c r="AK94" i="6"/>
  <c r="J94" i="6"/>
  <c r="AL94" i="6" s="1"/>
  <c r="I94" i="6"/>
  <c r="AN93" i="6"/>
  <c r="AM93" i="6"/>
  <c r="AO93" i="6" s="1"/>
  <c r="AL93" i="6"/>
  <c r="AK93" i="6"/>
  <c r="J93" i="6" s="1"/>
  <c r="I93" i="6"/>
  <c r="AN92" i="6"/>
  <c r="AM92" i="6"/>
  <c r="AK92" i="6"/>
  <c r="J92" i="6" s="1"/>
  <c r="AL92" i="6" s="1"/>
  <c r="AO92" i="6" s="1"/>
  <c r="I92" i="6"/>
  <c r="AN91" i="6"/>
  <c r="AM91" i="6"/>
  <c r="AK91" i="6"/>
  <c r="J91" i="6"/>
  <c r="AL91" i="6" s="1"/>
  <c r="AO91" i="6" s="1"/>
  <c r="I91" i="6"/>
  <c r="AN90" i="6"/>
  <c r="AO90" i="6" s="1"/>
  <c r="AM90" i="6"/>
  <c r="AK90" i="6"/>
  <c r="J90" i="6"/>
  <c r="AL90" i="6" s="1"/>
  <c r="I90" i="6"/>
  <c r="AN89" i="6"/>
  <c r="AM89" i="6"/>
  <c r="AO89" i="6" s="1"/>
  <c r="AK89" i="6"/>
  <c r="J89" i="6" s="1"/>
  <c r="AL89" i="6" s="1"/>
  <c r="I89" i="6"/>
  <c r="AN88" i="6"/>
  <c r="AM88" i="6"/>
  <c r="AK88" i="6"/>
  <c r="J88" i="6"/>
  <c r="AL88" i="6" s="1"/>
  <c r="I88" i="6"/>
  <c r="AN87" i="6"/>
  <c r="AM87" i="6"/>
  <c r="AL87" i="6"/>
  <c r="AK87" i="6"/>
  <c r="J87" i="6" s="1"/>
  <c r="I87" i="6"/>
  <c r="AN86" i="6"/>
  <c r="AM86" i="6"/>
  <c r="AK86" i="6"/>
  <c r="J86" i="6" s="1"/>
  <c r="AL86" i="6" s="1"/>
  <c r="I86" i="6"/>
  <c r="AN85" i="6"/>
  <c r="AM85" i="6"/>
  <c r="AK85" i="6"/>
  <c r="J85" i="6" s="1"/>
  <c r="AL85" i="6" s="1"/>
  <c r="AO85" i="6" s="1"/>
  <c r="I85" i="6"/>
  <c r="AN84" i="6"/>
  <c r="AO84" i="6" s="1"/>
  <c r="AM84" i="6"/>
  <c r="AK84" i="6"/>
  <c r="J84" i="6"/>
  <c r="AL84" i="6" s="1"/>
  <c r="I84" i="6"/>
  <c r="AN83" i="6"/>
  <c r="AM83" i="6"/>
  <c r="AO83" i="6" s="1"/>
  <c r="AK83" i="6"/>
  <c r="J83" i="6" s="1"/>
  <c r="AL83" i="6" s="1"/>
  <c r="I83" i="6"/>
  <c r="AN82" i="6"/>
  <c r="AM82" i="6"/>
  <c r="AK82" i="6"/>
  <c r="J82" i="6"/>
  <c r="AL82" i="6" s="1"/>
  <c r="I82" i="6"/>
  <c r="AN81" i="6"/>
  <c r="AM81" i="6"/>
  <c r="AL81" i="6"/>
  <c r="AK81" i="6"/>
  <c r="J81" i="6" s="1"/>
  <c r="I81" i="6"/>
  <c r="AN80" i="6"/>
  <c r="AM80" i="6"/>
  <c r="AL80" i="6"/>
  <c r="AK80" i="6"/>
  <c r="J80" i="6"/>
  <c r="I80" i="6"/>
  <c r="AN79" i="6"/>
  <c r="AM79" i="6"/>
  <c r="AK79" i="6"/>
  <c r="J79" i="6" s="1"/>
  <c r="AL79" i="6" s="1"/>
  <c r="AO79" i="6" s="1"/>
  <c r="I79" i="6"/>
  <c r="AN78" i="6"/>
  <c r="AM78" i="6"/>
  <c r="AL78" i="6"/>
  <c r="AO78" i="6" s="1"/>
  <c r="AK78" i="6"/>
  <c r="J78" i="6" s="1"/>
  <c r="I78" i="6"/>
  <c r="AN77" i="6"/>
  <c r="AM77" i="6"/>
  <c r="AK77" i="6"/>
  <c r="J77" i="6"/>
  <c r="AL77" i="6" s="1"/>
  <c r="AO77" i="6" s="1"/>
  <c r="I77" i="6"/>
  <c r="AN76" i="6"/>
  <c r="AM76" i="6"/>
  <c r="AL76" i="6"/>
  <c r="AK76" i="6"/>
  <c r="J76" i="6"/>
  <c r="I76" i="6"/>
  <c r="AN75" i="6"/>
  <c r="AO75" i="6" s="1"/>
  <c r="AM75" i="6"/>
  <c r="AK75" i="6"/>
  <c r="J75" i="6" s="1"/>
  <c r="AL75" i="6" s="1"/>
  <c r="I75" i="6"/>
  <c r="AN74" i="6"/>
  <c r="AO74" i="6" s="1"/>
  <c r="AM74" i="6"/>
  <c r="AK74" i="6"/>
  <c r="J74" i="6"/>
  <c r="AL74" i="6" s="1"/>
  <c r="I74" i="6"/>
  <c r="AN73" i="6"/>
  <c r="AM73" i="6"/>
  <c r="AL73" i="6"/>
  <c r="AK73" i="6"/>
  <c r="J73" i="6" s="1"/>
  <c r="I73" i="6"/>
  <c r="AN72" i="6"/>
  <c r="AO72" i="6" s="1"/>
  <c r="AM72" i="6"/>
  <c r="AK72" i="6"/>
  <c r="J72" i="6"/>
  <c r="AL72" i="6" s="1"/>
  <c r="I72" i="6"/>
  <c r="AN71" i="6"/>
  <c r="AO71" i="6" s="1"/>
  <c r="AM71" i="6"/>
  <c r="AK71" i="6"/>
  <c r="J71" i="6"/>
  <c r="AL71" i="6" s="1"/>
  <c r="I71" i="6"/>
  <c r="AN70" i="6"/>
  <c r="AM70" i="6"/>
  <c r="AL70" i="6"/>
  <c r="AK70" i="6"/>
  <c r="J70" i="6"/>
  <c r="I70" i="6"/>
  <c r="AN69" i="6"/>
  <c r="AM69" i="6"/>
  <c r="AK69" i="6"/>
  <c r="J69" i="6"/>
  <c r="AL69" i="6" s="1"/>
  <c r="AO69" i="6" s="1"/>
  <c r="I69" i="6"/>
  <c r="AN68" i="6"/>
  <c r="AM68" i="6"/>
  <c r="AL68" i="6"/>
  <c r="AK68" i="6"/>
  <c r="J68" i="6"/>
  <c r="I68" i="6"/>
  <c r="AN67" i="6"/>
  <c r="AM67" i="6"/>
  <c r="AK67" i="6"/>
  <c r="J67" i="6" s="1"/>
  <c r="AL67" i="6" s="1"/>
  <c r="AO67" i="6" s="1"/>
  <c r="I67" i="6"/>
  <c r="AN66" i="6"/>
  <c r="AO66" i="6" s="1"/>
  <c r="AM66" i="6"/>
  <c r="AK66" i="6"/>
  <c r="J66" i="6"/>
  <c r="AL66" i="6" s="1"/>
  <c r="I66" i="6"/>
  <c r="AO65" i="6"/>
  <c r="AN65" i="6"/>
  <c r="AM65" i="6"/>
  <c r="AK65" i="6"/>
  <c r="J65" i="6" s="1"/>
  <c r="AL65" i="6" s="1"/>
  <c r="I65" i="6"/>
  <c r="AN64" i="6"/>
  <c r="AO64" i="6" s="1"/>
  <c r="AM64" i="6"/>
  <c r="AL64" i="6"/>
  <c r="AK64" i="6"/>
  <c r="J64" i="6"/>
  <c r="I64" i="6"/>
  <c r="AN63" i="6"/>
  <c r="AM63" i="6"/>
  <c r="AK63" i="6"/>
  <c r="J63" i="6"/>
  <c r="AL63" i="6" s="1"/>
  <c r="AO63" i="6" s="1"/>
  <c r="I63" i="6"/>
  <c r="AN62" i="6"/>
  <c r="AM62" i="6"/>
  <c r="AL62" i="6"/>
  <c r="AK62" i="6"/>
  <c r="J62" i="6"/>
  <c r="I62" i="6"/>
  <c r="AN61" i="6"/>
  <c r="AM61" i="6"/>
  <c r="AK61" i="6"/>
  <c r="J61" i="6" s="1"/>
  <c r="AL61" i="6" s="1"/>
  <c r="AO61" i="6" s="1"/>
  <c r="I61" i="6"/>
  <c r="AN60" i="6"/>
  <c r="AM60" i="6"/>
  <c r="AL60" i="6"/>
  <c r="AO60" i="6" s="1"/>
  <c r="AK60" i="6"/>
  <c r="J60" i="6" s="1"/>
  <c r="I60" i="6"/>
  <c r="AN59" i="6"/>
  <c r="AO59" i="6" s="1"/>
  <c r="AM59" i="6"/>
  <c r="AK59" i="6"/>
  <c r="J59" i="6"/>
  <c r="AL59" i="6" s="1"/>
  <c r="I59" i="6"/>
  <c r="AN58" i="6"/>
  <c r="AM58" i="6"/>
  <c r="AK58" i="6"/>
  <c r="J58" i="6"/>
  <c r="AL58" i="6" s="1"/>
  <c r="I58" i="6"/>
  <c r="AN57" i="6"/>
  <c r="AM57" i="6"/>
  <c r="AL57" i="6"/>
  <c r="AK57" i="6"/>
  <c r="J57" i="6"/>
  <c r="I57" i="6"/>
  <c r="AN56" i="6"/>
  <c r="AM56" i="6"/>
  <c r="AK56" i="6"/>
  <c r="J56" i="6" s="1"/>
  <c r="AL56" i="6" s="1"/>
  <c r="AO56" i="6" s="1"/>
  <c r="I56" i="6"/>
  <c r="AN55" i="6"/>
  <c r="AO55" i="6" s="1"/>
  <c r="AM55" i="6"/>
  <c r="AL55" i="6"/>
  <c r="AK55" i="6"/>
  <c r="J55" i="6"/>
  <c r="I55" i="6"/>
  <c r="AN54" i="6"/>
  <c r="AM54" i="6"/>
  <c r="AK54" i="6"/>
  <c r="J54" i="6" s="1"/>
  <c r="AL54" i="6" s="1"/>
  <c r="AO54" i="6" s="1"/>
  <c r="I54" i="6"/>
  <c r="AN53" i="6"/>
  <c r="AM53" i="6"/>
  <c r="AK53" i="6"/>
  <c r="J53" i="6"/>
  <c r="AL53" i="6" s="1"/>
  <c r="AO53" i="6" s="1"/>
  <c r="I53" i="6"/>
  <c r="AN52" i="6"/>
  <c r="AM52" i="6"/>
  <c r="AK52" i="6"/>
  <c r="J52" i="6"/>
  <c r="AL52" i="6" s="1"/>
  <c r="I52" i="6"/>
  <c r="AN51" i="6"/>
  <c r="AM51" i="6"/>
  <c r="AL51" i="6"/>
  <c r="AK51" i="6"/>
  <c r="J51" i="6"/>
  <c r="I51" i="6"/>
  <c r="AN50" i="6"/>
  <c r="AM50" i="6"/>
  <c r="AK50" i="6"/>
  <c r="J50" i="6"/>
  <c r="AL50" i="6" s="1"/>
  <c r="I50" i="6"/>
  <c r="AN49" i="6"/>
  <c r="AM49" i="6"/>
  <c r="AL49" i="6"/>
  <c r="AK49" i="6"/>
  <c r="J49" i="6"/>
  <c r="I49" i="6"/>
  <c r="AN48" i="6"/>
  <c r="AM48" i="6"/>
  <c r="AL48" i="6"/>
  <c r="AO48" i="6" s="1"/>
  <c r="AK48" i="6"/>
  <c r="J48" i="6" s="1"/>
  <c r="I48" i="6"/>
  <c r="AN47" i="6"/>
  <c r="AO47" i="6" s="1"/>
  <c r="AM47" i="6"/>
  <c r="AK47" i="6"/>
  <c r="J47" i="6"/>
  <c r="AL47" i="6" s="1"/>
  <c r="I47" i="6"/>
  <c r="AN46" i="6"/>
  <c r="AM46" i="6"/>
  <c r="AK46" i="6"/>
  <c r="J46" i="6"/>
  <c r="AL46" i="6" s="1"/>
  <c r="I46" i="6"/>
  <c r="AN45" i="6"/>
  <c r="AO45" i="6" s="1"/>
  <c r="AM45" i="6"/>
  <c r="AK45" i="6"/>
  <c r="J45" i="6"/>
  <c r="AL45" i="6" s="1"/>
  <c r="I45" i="6"/>
  <c r="AN44" i="6"/>
  <c r="AO44" i="6" s="1"/>
  <c r="AM44" i="6"/>
  <c r="AK44" i="6"/>
  <c r="J44" i="6"/>
  <c r="AL44" i="6" s="1"/>
  <c r="I44" i="6"/>
  <c r="AN43" i="6"/>
  <c r="AM43" i="6"/>
  <c r="AL43" i="6"/>
  <c r="AK43" i="6"/>
  <c r="J43" i="6"/>
  <c r="I43" i="6"/>
  <c r="AN42" i="6"/>
  <c r="AM42" i="6"/>
  <c r="AK42" i="6"/>
  <c r="J42" i="6" s="1"/>
  <c r="AL42" i="6" s="1"/>
  <c r="AO42" i="6" s="1"/>
  <c r="I42" i="6"/>
  <c r="AN41" i="6"/>
  <c r="AO41" i="6" s="1"/>
  <c r="AM41" i="6"/>
  <c r="AK41" i="6"/>
  <c r="J41" i="6" s="1"/>
  <c r="AL41" i="6" s="1"/>
  <c r="I41" i="6"/>
  <c r="AN40" i="6"/>
  <c r="AM40" i="6"/>
  <c r="AK40" i="6"/>
  <c r="J40" i="6" s="1"/>
  <c r="AL40" i="6" s="1"/>
  <c r="AO40" i="6" s="1"/>
  <c r="I40" i="6"/>
  <c r="AN39" i="6"/>
  <c r="AO39" i="6" s="1"/>
  <c r="AM39" i="6"/>
  <c r="AK39" i="6"/>
  <c r="J39" i="6"/>
  <c r="AL39" i="6" s="1"/>
  <c r="I39" i="6"/>
  <c r="AN38" i="6"/>
  <c r="AO38" i="6" s="1"/>
  <c r="AM38" i="6"/>
  <c r="AK38" i="6"/>
  <c r="J38" i="6"/>
  <c r="AL38" i="6" s="1"/>
  <c r="I38" i="6"/>
  <c r="AN37" i="6"/>
  <c r="AM37" i="6"/>
  <c r="AK37" i="6"/>
  <c r="J37" i="6" s="1"/>
  <c r="AL37" i="6" s="1"/>
  <c r="I37" i="6"/>
  <c r="AN36" i="6"/>
  <c r="AM36" i="6"/>
  <c r="AK36" i="6"/>
  <c r="J36" i="6" s="1"/>
  <c r="AL36" i="6" s="1"/>
  <c r="AO36" i="6" s="1"/>
  <c r="I36" i="6"/>
  <c r="AN35" i="6"/>
  <c r="AM35" i="6"/>
  <c r="AL35" i="6"/>
  <c r="AK35" i="6"/>
  <c r="J35" i="6" s="1"/>
  <c r="I35" i="6"/>
  <c r="AN34" i="6"/>
  <c r="AM34" i="6"/>
  <c r="AK34" i="6"/>
  <c r="J34" i="6" s="1"/>
  <c r="AL34" i="6" s="1"/>
  <c r="AO34" i="6" s="1"/>
  <c r="I34" i="6"/>
  <c r="AN33" i="6"/>
  <c r="AM33" i="6"/>
  <c r="AK33" i="6"/>
  <c r="J33" i="6" s="1"/>
  <c r="AL33" i="6" s="1"/>
  <c r="I33" i="6"/>
  <c r="AN32" i="6"/>
  <c r="AM32" i="6"/>
  <c r="AK32" i="6"/>
  <c r="J32" i="6"/>
  <c r="AL32" i="6" s="1"/>
  <c r="I32" i="6"/>
  <c r="AN31" i="6"/>
  <c r="AM31" i="6"/>
  <c r="AO31" i="6" s="1"/>
  <c r="AL31" i="6"/>
  <c r="AK31" i="6"/>
  <c r="J31" i="6" s="1"/>
  <c r="I31" i="6"/>
  <c r="AN30" i="6"/>
  <c r="AM30" i="6"/>
  <c r="AL30" i="6"/>
  <c r="AK30" i="6"/>
  <c r="J30" i="6"/>
  <c r="I30" i="6"/>
  <c r="AN29" i="6"/>
  <c r="AM29" i="6"/>
  <c r="AK29" i="6"/>
  <c r="J29" i="6" s="1"/>
  <c r="AL29" i="6" s="1"/>
  <c r="AO29" i="6" s="1"/>
  <c r="I29" i="6"/>
  <c r="AN28" i="6"/>
  <c r="AO28" i="6" s="1"/>
  <c r="AM28" i="6"/>
  <c r="AL28" i="6"/>
  <c r="AK28" i="6"/>
  <c r="J28" i="6"/>
  <c r="I28" i="6"/>
  <c r="AN27" i="6"/>
  <c r="AM27" i="6"/>
  <c r="AK27" i="6"/>
  <c r="J27" i="6"/>
  <c r="AL27" i="6" s="1"/>
  <c r="AO27" i="6" s="1"/>
  <c r="I27" i="6"/>
  <c r="AN26" i="6"/>
  <c r="AM26" i="6"/>
  <c r="AL26" i="6"/>
  <c r="AK26" i="6"/>
  <c r="J26" i="6"/>
  <c r="I26" i="6"/>
  <c r="AN25" i="6"/>
  <c r="AO25" i="6" s="1"/>
  <c r="AM25" i="6"/>
  <c r="AL25" i="6"/>
  <c r="AK25" i="6"/>
  <c r="J25" i="6"/>
  <c r="I25" i="6"/>
  <c r="AN24" i="6"/>
  <c r="AM24" i="6"/>
  <c r="AK24" i="6"/>
  <c r="J24" i="6" s="1"/>
  <c r="AL24" i="6" s="1"/>
  <c r="AO24" i="6" s="1"/>
  <c r="I24" i="6"/>
  <c r="AN23" i="6"/>
  <c r="AM23" i="6"/>
  <c r="AK23" i="6"/>
  <c r="J23" i="6"/>
  <c r="AL23" i="6" s="1"/>
  <c r="I23" i="6"/>
  <c r="AN22" i="6"/>
  <c r="AM22" i="6"/>
  <c r="AK22" i="6"/>
  <c r="J22" i="6"/>
  <c r="AL22" i="6" s="1"/>
  <c r="I22" i="6"/>
  <c r="AN21" i="6"/>
  <c r="AO21" i="6" s="1"/>
  <c r="AM21" i="6"/>
  <c r="AL21" i="6"/>
  <c r="AK21" i="6"/>
  <c r="J21" i="6"/>
  <c r="I21" i="6"/>
  <c r="AN20" i="6"/>
  <c r="AM20" i="6"/>
  <c r="AK20" i="6"/>
  <c r="J20" i="6"/>
  <c r="AL20" i="6" s="1"/>
  <c r="I20" i="6"/>
  <c r="AN19" i="6"/>
  <c r="AO19" i="6" s="1"/>
  <c r="AM19" i="6"/>
  <c r="AL19" i="6"/>
  <c r="AK19" i="6"/>
  <c r="J19" i="6"/>
  <c r="I19" i="6"/>
  <c r="AN18" i="6"/>
  <c r="AM18" i="6"/>
  <c r="AK18" i="6"/>
  <c r="J18" i="6" s="1"/>
  <c r="AL18" i="6" s="1"/>
  <c r="AO18" i="6" s="1"/>
  <c r="I18" i="6"/>
  <c r="AN17" i="6"/>
  <c r="AO17" i="6" s="1"/>
  <c r="AM17" i="6"/>
  <c r="AK17" i="6"/>
  <c r="J17" i="6"/>
  <c r="AL17" i="6" s="1"/>
  <c r="I17" i="6"/>
  <c r="AN16" i="6"/>
  <c r="AM16" i="6"/>
  <c r="AK16" i="6"/>
  <c r="J16" i="6"/>
  <c r="AL16" i="6" s="1"/>
  <c r="I16" i="6"/>
  <c r="AN15" i="6"/>
  <c r="AM15" i="6"/>
  <c r="AK15" i="6"/>
  <c r="J15" i="6"/>
  <c r="AL15" i="6" s="1"/>
  <c r="I15" i="6"/>
  <c r="AN14" i="6"/>
  <c r="AO14" i="6" s="1"/>
  <c r="AM14" i="6"/>
  <c r="AK14" i="6"/>
  <c r="J14" i="6"/>
  <c r="AL14" i="6" s="1"/>
  <c r="I14" i="6"/>
  <c r="AN13" i="6"/>
  <c r="AO13" i="6" s="1"/>
  <c r="AM13" i="6"/>
  <c r="AL13" i="6"/>
  <c r="AK13" i="6"/>
  <c r="J13" i="6"/>
  <c r="I13" i="6"/>
  <c r="AN12" i="6"/>
  <c r="AM12" i="6"/>
  <c r="AK12" i="6"/>
  <c r="J12" i="6" s="1"/>
  <c r="AL12" i="6" s="1"/>
  <c r="AO12" i="6" s="1"/>
  <c r="I12" i="6"/>
  <c r="AN11" i="6"/>
  <c r="AM11" i="6"/>
  <c r="AK11" i="6"/>
  <c r="J11" i="6"/>
  <c r="AL11" i="6" s="1"/>
  <c r="I11" i="6"/>
  <c r="AO10" i="6"/>
  <c r="AN10" i="6"/>
  <c r="AM10" i="6"/>
  <c r="AK10" i="6"/>
  <c r="J10" i="6" s="1"/>
  <c r="AL10" i="6" s="1"/>
  <c r="I10" i="6"/>
  <c r="AN9" i="6"/>
  <c r="AO9" i="6" s="1"/>
  <c r="AM9" i="6"/>
  <c r="AK9" i="6"/>
  <c r="J9" i="6"/>
  <c r="AL9" i="6" s="1"/>
  <c r="I9" i="6"/>
  <c r="AN8" i="6"/>
  <c r="AM8" i="6"/>
  <c r="AK8" i="6"/>
  <c r="J8" i="6"/>
  <c r="AL8" i="6" s="1"/>
  <c r="I8" i="6"/>
  <c r="AN7" i="6"/>
  <c r="AM7" i="6"/>
  <c r="AL7" i="6"/>
  <c r="AK7" i="6"/>
  <c r="J7" i="6"/>
  <c r="I7" i="6"/>
  <c r="AO6" i="6"/>
  <c r="AN6" i="6"/>
  <c r="AM6" i="6"/>
  <c r="AK6" i="6"/>
  <c r="J6" i="6" s="1"/>
  <c r="AL6" i="6" s="1"/>
  <c r="I6" i="6"/>
  <c r="AL24" i="8" l="1"/>
  <c r="AL48" i="8"/>
  <c r="AL50" i="8"/>
  <c r="AL38" i="8"/>
  <c r="AL40" i="8"/>
  <c r="AL56" i="8"/>
  <c r="AJ68" i="8"/>
  <c r="AL17" i="8"/>
  <c r="AL20" i="8"/>
  <c r="AL26" i="8"/>
  <c r="AL46" i="8"/>
  <c r="AL58" i="8"/>
  <c r="AL11" i="8"/>
  <c r="AL22" i="8"/>
  <c r="AL28" i="8"/>
  <c r="AL34" i="8"/>
  <c r="AL54" i="8"/>
  <c r="AL60" i="8"/>
  <c r="AL66" i="8"/>
  <c r="AL18" i="8"/>
  <c r="AL52" i="8"/>
  <c r="AL30" i="8"/>
  <c r="AL36" i="8"/>
  <c r="AL42" i="8"/>
  <c r="AL62" i="8"/>
  <c r="AL9" i="8"/>
  <c r="AL14" i="8"/>
  <c r="AL15" i="8"/>
  <c r="J6" i="8"/>
  <c r="J68" i="8" s="1"/>
  <c r="AI68" i="8" s="1"/>
  <c r="AL7" i="8"/>
  <c r="AL13" i="8"/>
  <c r="AL12" i="8"/>
  <c r="AL10" i="8"/>
  <c r="AL8" i="8"/>
  <c r="AL16" i="8"/>
  <c r="AL19" i="8"/>
  <c r="AL21" i="8"/>
  <c r="AL23" i="8"/>
  <c r="AL25" i="8"/>
  <c r="AL27" i="8"/>
  <c r="AL29" i="8"/>
  <c r="AL31" i="8"/>
  <c r="AL33" i="8"/>
  <c r="AL35" i="8"/>
  <c r="AL37" i="8"/>
  <c r="AL39" i="8"/>
  <c r="AL41" i="8"/>
  <c r="AL43" i="8"/>
  <c r="AL45" i="8"/>
  <c r="AL47" i="8"/>
  <c r="AL49" i="8"/>
  <c r="AL51" i="8"/>
  <c r="AL53" i="8"/>
  <c r="AL55" i="8"/>
  <c r="AL57" i="8"/>
  <c r="AL59" i="8"/>
  <c r="AL61" i="8"/>
  <c r="AL63" i="8"/>
  <c r="AL65" i="8"/>
  <c r="AL67" i="8"/>
  <c r="A8" i="8"/>
  <c r="AM162" i="6"/>
  <c r="AO162" i="6" s="1"/>
  <c r="AO7" i="6"/>
  <c r="AO11" i="6"/>
  <c r="AO15" i="6"/>
  <c r="AO22" i="6"/>
  <c r="AO33" i="6"/>
  <c r="AO8" i="6"/>
  <c r="AO16" i="6"/>
  <c r="AO20" i="6"/>
  <c r="AO23" i="6"/>
  <c r="AO86" i="6"/>
  <c r="AO104" i="6"/>
  <c r="AO32" i="6"/>
  <c r="AO35" i="6"/>
  <c r="AO49" i="6"/>
  <c r="AO51" i="6"/>
  <c r="AO82" i="6"/>
  <c r="AO88" i="6"/>
  <c r="AO96" i="6"/>
  <c r="AO103" i="6"/>
  <c r="AO118" i="6"/>
  <c r="AO121" i="6"/>
  <c r="AO152" i="6"/>
  <c r="AO155" i="6"/>
  <c r="AO26" i="6"/>
  <c r="AO37" i="6"/>
  <c r="AO50" i="6"/>
  <c r="AO52" i="6"/>
  <c r="AO57" i="6"/>
  <c r="AO70" i="6"/>
  <c r="AO73" i="6"/>
  <c r="AO109" i="6"/>
  <c r="AO132" i="6"/>
  <c r="AO30" i="6"/>
  <c r="AO43" i="6"/>
  <c r="AO46" i="6"/>
  <c r="AO58" i="6"/>
  <c r="AO81" i="6"/>
  <c r="AO87" i="6"/>
  <c r="AO105" i="6"/>
  <c r="AO120" i="6"/>
  <c r="AO141" i="6"/>
  <c r="AO154" i="6"/>
  <c r="AO62" i="6"/>
  <c r="AO68" i="6"/>
  <c r="AO76" i="6"/>
  <c r="AO100" i="6"/>
  <c r="AO135" i="6"/>
  <c r="AO143" i="6"/>
  <c r="AO149" i="6"/>
  <c r="AO157" i="6"/>
  <c r="AO80" i="6"/>
  <c r="AO115" i="6"/>
  <c r="AO123" i="6"/>
  <c r="AO129" i="6"/>
  <c r="AO137" i="6"/>
  <c r="AO161" i="6"/>
  <c r="AL68" i="8" l="1"/>
  <c r="AI6" i="8"/>
  <c r="AL6" i="8" s="1"/>
  <c r="B8" i="8"/>
  <c r="A10" i="8"/>
  <c r="B10" i="8" l="1"/>
  <c r="A12" i="8"/>
  <c r="B12" i="8" l="1"/>
  <c r="A14" i="8"/>
  <c r="B14" i="8" l="1"/>
  <c r="A16" i="8"/>
  <c r="B16" i="8" l="1"/>
  <c r="A18" i="8"/>
  <c r="B18" i="8" l="1"/>
  <c r="A20" i="8"/>
  <c r="B20" i="8" l="1"/>
  <c r="A22" i="8"/>
  <c r="B22" i="8" l="1"/>
  <c r="A24" i="8"/>
  <c r="B24" i="8" l="1"/>
  <c r="A26" i="8"/>
  <c r="B26" i="8" l="1"/>
  <c r="A28" i="8"/>
  <c r="B28" i="8" l="1"/>
  <c r="A30" i="8"/>
  <c r="B30" i="8" l="1"/>
  <c r="A32" i="8"/>
  <c r="B32" i="8" l="1"/>
  <c r="A34" i="8"/>
  <c r="B34" i="8" l="1"/>
  <c r="A36" i="8"/>
  <c r="B36" i="8" l="1"/>
  <c r="A38" i="8"/>
  <c r="B38" i="8" l="1"/>
  <c r="A40" i="8"/>
  <c r="B40" i="8" l="1"/>
  <c r="A42" i="8"/>
  <c r="B42" i="8" l="1"/>
  <c r="A44" i="8"/>
  <c r="B44" i="8" l="1"/>
  <c r="A46" i="8"/>
  <c r="B46" i="8" l="1"/>
  <c r="A48" i="8"/>
  <c r="B48" i="8" l="1"/>
  <c r="A50" i="8"/>
  <c r="B50" i="8" l="1"/>
  <c r="A52" i="8"/>
  <c r="B52" i="8" l="1"/>
  <c r="A54" i="8"/>
  <c r="B54" i="8" l="1"/>
  <c r="A56" i="8"/>
  <c r="B56" i="8" l="1"/>
  <c r="A58" i="8"/>
  <c r="B58" i="8" l="1"/>
  <c r="A60" i="8"/>
  <c r="B60" i="8" l="1"/>
  <c r="A62" i="8"/>
  <c r="B62" i="8" l="1"/>
  <c r="A64" i="8"/>
  <c r="B64" i="8" l="1"/>
  <c r="A66" i="8"/>
  <c r="B66" i="8" s="1"/>
  <c r="A3" i="6" l="1"/>
  <c r="A6" i="6" s="1"/>
  <c r="A11" i="6" l="1"/>
  <c r="B6" i="6"/>
  <c r="A16" i="6" l="1"/>
  <c r="B11" i="6"/>
  <c r="A21" i="6" l="1"/>
  <c r="B16" i="6"/>
  <c r="A26" i="6" l="1"/>
  <c r="B21" i="6"/>
  <c r="A2" i="11"/>
  <c r="A31" i="6" l="1"/>
  <c r="B26" i="6"/>
  <c r="A3" i="10"/>
  <c r="A3" i="12"/>
  <c r="A3" i="5"/>
  <c r="A3" i="4"/>
  <c r="A3" i="8"/>
  <c r="P3" i="6"/>
  <c r="A3" i="3"/>
  <c r="A3" i="2"/>
  <c r="A2" i="14"/>
  <c r="A2" i="13"/>
  <c r="A2" i="15"/>
  <c r="AM3" i="3"/>
  <c r="A36" i="6" l="1"/>
  <c r="B31" i="6"/>
  <c r="I6" i="2"/>
  <c r="A41" i="6" l="1"/>
  <c r="B36" i="6"/>
  <c r="AM3" i="2"/>
  <c r="A46" i="6" l="1"/>
  <c r="B41" i="6"/>
  <c r="A51" i="6" l="1"/>
  <c r="B46" i="6"/>
  <c r="B51" i="6" l="1"/>
  <c r="A56" i="6"/>
  <c r="B56" i="6" l="1"/>
  <c r="A61" i="6"/>
  <c r="A66" i="6" l="1"/>
  <c r="B61" i="6"/>
  <c r="B66" i="6" l="1"/>
  <c r="A71" i="6"/>
  <c r="A76" i="6" l="1"/>
  <c r="B71" i="6"/>
  <c r="A81" i="6" l="1"/>
  <c r="B76" i="6"/>
  <c r="B81" i="6" l="1"/>
  <c r="A86" i="6"/>
  <c r="A91" i="6" l="1"/>
  <c r="B86" i="6"/>
  <c r="A96" i="6" l="1"/>
  <c r="B91" i="6"/>
  <c r="A101" i="6" l="1"/>
  <c r="B96" i="6"/>
  <c r="B101" i="6" l="1"/>
  <c r="A106" i="6"/>
  <c r="A112" i="6" l="1"/>
  <c r="B106" i="6"/>
  <c r="A117" i="6" l="1"/>
  <c r="B112" i="6"/>
  <c r="A122" i="6" l="1"/>
  <c r="B117" i="6"/>
  <c r="A127" i="6" l="1"/>
  <c r="B122" i="6"/>
  <c r="A132" i="6" l="1"/>
  <c r="B127" i="6"/>
  <c r="A137" i="6" l="1"/>
  <c r="B132" i="6"/>
  <c r="B137" i="6" l="1"/>
  <c r="A142" i="6"/>
  <c r="A147" i="6" l="1"/>
  <c r="B142" i="6"/>
  <c r="B147" i="6" l="1"/>
  <c r="A152" i="6"/>
  <c r="A157" i="6" l="1"/>
  <c r="B157" i="6" s="1"/>
  <c r="B152" i="6"/>
  <c r="AM3" i="4" l="1"/>
  <c r="A6" i="4" s="1"/>
  <c r="AM3" i="10"/>
  <c r="A6" i="10" s="1"/>
  <c r="B6" i="4" l="1"/>
  <c r="A7" i="4"/>
  <c r="A10" i="10"/>
  <c r="B6" i="10"/>
  <c r="A8" i="4" l="1"/>
  <c r="B7" i="4"/>
  <c r="B10" i="10"/>
  <c r="A14" i="10"/>
  <c r="B5" i="14" a="1"/>
  <c r="B8" i="4" l="1"/>
  <c r="A9" i="4"/>
  <c r="A18" i="10"/>
  <c r="B14" i="10"/>
  <c r="A10" i="4" l="1"/>
  <c r="B9" i="4"/>
  <c r="B18" i="10"/>
  <c r="A22" i="10"/>
  <c r="B11" i="14" a="1"/>
  <c r="B10" i="4" l="1"/>
  <c r="A11" i="4"/>
  <c r="A26" i="10"/>
  <c r="B22" i="10"/>
  <c r="B12" i="14" a="1"/>
  <c r="A12" i="4" l="1"/>
  <c r="B11" i="4"/>
  <c r="B26" i="10"/>
  <c r="A30" i="10"/>
  <c r="B12" i="4" l="1"/>
  <c r="A13" i="4"/>
  <c r="A34" i="10"/>
  <c r="B30" i="10"/>
  <c r="A14" i="4" l="1"/>
  <c r="B13" i="4"/>
  <c r="B34" i="10"/>
  <c r="A38" i="10"/>
  <c r="B14" i="4" l="1"/>
  <c r="A15" i="4"/>
  <c r="A42" i="10"/>
  <c r="B38" i="10"/>
  <c r="A16" i="4" l="1"/>
  <c r="B15" i="4"/>
  <c r="B42" i="10"/>
  <c r="A46" i="10"/>
  <c r="B16" i="4" l="1"/>
  <c r="A17" i="4"/>
  <c r="A50" i="10"/>
  <c r="B46" i="10"/>
  <c r="A18" i="4" l="1"/>
  <c r="B17" i="4"/>
  <c r="B50" i="10"/>
  <c r="A54" i="10"/>
  <c r="B18" i="4" l="1"/>
  <c r="A19" i="4"/>
  <c r="A58" i="10"/>
  <c r="B54" i="10"/>
  <c r="A20" i="4" l="1"/>
  <c r="B19" i="4"/>
  <c r="A62" i="10"/>
  <c r="B58" i="10"/>
  <c r="B20" i="4" l="1"/>
  <c r="A21" i="4"/>
  <c r="B62" i="10"/>
  <c r="A66" i="10"/>
  <c r="A22" i="4" l="1"/>
  <c r="B21" i="4"/>
  <c r="A70" i="10"/>
  <c r="B66" i="10"/>
  <c r="B22" i="4" l="1"/>
  <c r="A23" i="4"/>
  <c r="B70" i="10"/>
  <c r="A74" i="10"/>
  <c r="A24" i="4" l="1"/>
  <c r="B23" i="4"/>
  <c r="A78" i="10"/>
  <c r="B74" i="10"/>
  <c r="B24" i="4" l="1"/>
  <c r="A25" i="4"/>
  <c r="B78" i="10"/>
  <c r="A82" i="10"/>
  <c r="A26" i="4" l="1"/>
  <c r="B25" i="4"/>
  <c r="A86" i="10"/>
  <c r="B82" i="10"/>
  <c r="B26" i="4" l="1"/>
  <c r="A27" i="4"/>
  <c r="B86" i="10"/>
  <c r="A90" i="10"/>
  <c r="A28" i="4" l="1"/>
  <c r="B27" i="4"/>
  <c r="A94" i="10"/>
  <c r="B90" i="10"/>
  <c r="B28" i="4" l="1"/>
  <c r="A29" i="4"/>
  <c r="A98" i="10"/>
  <c r="B94" i="10"/>
  <c r="A30" i="4" l="1"/>
  <c r="B29" i="4"/>
  <c r="A102" i="10"/>
  <c r="B98" i="10"/>
  <c r="B30" i="4" l="1"/>
  <c r="A31" i="4"/>
  <c r="B102" i="10"/>
  <c r="A106" i="10"/>
  <c r="A32" i="4" l="1"/>
  <c r="B31" i="4"/>
  <c r="A110" i="10"/>
  <c r="B106" i="10"/>
  <c r="B32" i="4" l="1"/>
  <c r="A33" i="4"/>
  <c r="B110" i="10"/>
  <c r="A114" i="10"/>
  <c r="A34" i="4" l="1"/>
  <c r="B33" i="4"/>
  <c r="A118" i="10"/>
  <c r="B114" i="10"/>
  <c r="B34" i="4" l="1"/>
  <c r="A35" i="4"/>
  <c r="B118" i="10"/>
  <c r="A122" i="10"/>
  <c r="A36" i="4" l="1"/>
  <c r="B36" i="4" s="1"/>
  <c r="B35" i="4"/>
  <c r="A126" i="10"/>
  <c r="B126" i="10" s="1"/>
  <c r="B122" i="10"/>
  <c r="B8" i="14" l="1" a="1"/>
  <c r="B7" i="14" a="1"/>
  <c r="A6" i="3" l="1"/>
  <c r="A6" i="2"/>
  <c r="A4" i="15" a="1"/>
  <c r="B7" i="15"/>
  <c r="B5" i="15"/>
  <c r="B6" i="13" a="1"/>
  <c r="F37" i="3"/>
  <c r="G37" i="3"/>
  <c r="H37" i="3"/>
  <c r="B9" i="15" s="1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AA37" i="3"/>
  <c r="AB37" i="3"/>
  <c r="AC37" i="3"/>
  <c r="AD37" i="3"/>
  <c r="AE37" i="3"/>
  <c r="AF37" i="3"/>
  <c r="AG37" i="3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AA37" i="2"/>
  <c r="AB37" i="2"/>
  <c r="AC37" i="2"/>
  <c r="AD37" i="2"/>
  <c r="AE37" i="2"/>
  <c r="AF37" i="2"/>
  <c r="AG37" i="2"/>
  <c r="F37" i="2"/>
  <c r="G37" i="2"/>
  <c r="H37" i="2"/>
  <c r="B8" i="15" s="1"/>
  <c r="E37" i="2"/>
  <c r="B6" i="15"/>
  <c r="C7" i="11" a="1"/>
  <c r="B7" i="13" a="1"/>
  <c r="C6" i="11" l="1" a="1"/>
  <c r="AB8" i="14"/>
  <c r="C8" i="11" a="1"/>
  <c r="B8" i="13" a="1"/>
  <c r="C10" i="11" a="1"/>
  <c r="F10" i="11" s="1"/>
  <c r="B10" i="13" a="1"/>
  <c r="B9" i="13" a="1"/>
  <c r="C9" i="11" a="1"/>
  <c r="F7" i="11"/>
  <c r="AB7" i="14"/>
  <c r="F6" i="11" l="1"/>
  <c r="F9" i="11"/>
  <c r="F8" i="11"/>
  <c r="E8" i="13" a="1"/>
  <c r="B8" i="11"/>
  <c r="B7" i="11" l="1"/>
  <c r="E7" i="13" l="1" a="1"/>
  <c r="B4" i="15" l="1"/>
  <c r="B11" i="15"/>
  <c r="B10" i="15"/>
  <c r="AK37" i="3"/>
  <c r="AK36" i="3"/>
  <c r="AJ36" i="3"/>
  <c r="Z36" i="3"/>
  <c r="AH36" i="3" s="1"/>
  <c r="J36" i="3" s="1"/>
  <c r="AI36" i="3" s="1"/>
  <c r="I36" i="3"/>
  <c r="AK35" i="3"/>
  <c r="AJ35" i="3"/>
  <c r="Z35" i="3"/>
  <c r="AH35" i="3" s="1"/>
  <c r="J35" i="3" s="1"/>
  <c r="AI35" i="3" s="1"/>
  <c r="I35" i="3"/>
  <c r="AK34" i="3"/>
  <c r="AJ34" i="3"/>
  <c r="Z34" i="3"/>
  <c r="AH34" i="3" s="1"/>
  <c r="J34" i="3" s="1"/>
  <c r="AI34" i="3" s="1"/>
  <c r="I34" i="3"/>
  <c r="AK33" i="3"/>
  <c r="AJ33" i="3"/>
  <c r="Z33" i="3"/>
  <c r="AH33" i="3" s="1"/>
  <c r="J33" i="3" s="1"/>
  <c r="AI33" i="3" s="1"/>
  <c r="I33" i="3"/>
  <c r="AK32" i="3"/>
  <c r="AJ32" i="3"/>
  <c r="Z32" i="3"/>
  <c r="AH32" i="3" s="1"/>
  <c r="J32" i="3" s="1"/>
  <c r="AI32" i="3" s="1"/>
  <c r="I32" i="3"/>
  <c r="AK31" i="3"/>
  <c r="AJ31" i="3"/>
  <c r="Z31" i="3"/>
  <c r="AH31" i="3" s="1"/>
  <c r="J31" i="3" s="1"/>
  <c r="AI31" i="3" s="1"/>
  <c r="I31" i="3"/>
  <c r="AK30" i="3"/>
  <c r="AJ30" i="3"/>
  <c r="Z30" i="3"/>
  <c r="AH30" i="3" s="1"/>
  <c r="J30" i="3" s="1"/>
  <c r="AI30" i="3" s="1"/>
  <c r="I30" i="3"/>
  <c r="AK29" i="3"/>
  <c r="AJ29" i="3"/>
  <c r="Z29" i="3"/>
  <c r="AH29" i="3" s="1"/>
  <c r="J29" i="3" s="1"/>
  <c r="AI29" i="3" s="1"/>
  <c r="I29" i="3"/>
  <c r="AK28" i="3"/>
  <c r="AJ28" i="3"/>
  <c r="Z28" i="3"/>
  <c r="AH28" i="3" s="1"/>
  <c r="J28" i="3" s="1"/>
  <c r="AI28" i="3" s="1"/>
  <c r="I28" i="3"/>
  <c r="AK27" i="3"/>
  <c r="AJ27" i="3"/>
  <c r="Z27" i="3"/>
  <c r="AH27" i="3" s="1"/>
  <c r="J27" i="3" s="1"/>
  <c r="AI27" i="3" s="1"/>
  <c r="I27" i="3"/>
  <c r="AK26" i="3"/>
  <c r="AJ26" i="3"/>
  <c r="Z26" i="3"/>
  <c r="AH26" i="3" s="1"/>
  <c r="J26" i="3" s="1"/>
  <c r="AI26" i="3" s="1"/>
  <c r="I26" i="3"/>
  <c r="AK25" i="3"/>
  <c r="AJ25" i="3"/>
  <c r="Z25" i="3"/>
  <c r="AH25" i="3" s="1"/>
  <c r="J25" i="3" s="1"/>
  <c r="AI25" i="3" s="1"/>
  <c r="I25" i="3"/>
  <c r="AK24" i="3"/>
  <c r="AJ24" i="3"/>
  <c r="Z24" i="3"/>
  <c r="AH24" i="3" s="1"/>
  <c r="J24" i="3" s="1"/>
  <c r="AI24" i="3" s="1"/>
  <c r="I24" i="3"/>
  <c r="AK23" i="3"/>
  <c r="AJ23" i="3"/>
  <c r="Z23" i="3"/>
  <c r="AH23" i="3" s="1"/>
  <c r="J23" i="3" s="1"/>
  <c r="AI23" i="3" s="1"/>
  <c r="I23" i="3"/>
  <c r="AK22" i="3"/>
  <c r="AJ22" i="3"/>
  <c r="Z22" i="3"/>
  <c r="AH22" i="3" s="1"/>
  <c r="J22" i="3" s="1"/>
  <c r="AI22" i="3" s="1"/>
  <c r="I22" i="3"/>
  <c r="AK21" i="3"/>
  <c r="AJ21" i="3"/>
  <c r="Z21" i="3"/>
  <c r="AH21" i="3" s="1"/>
  <c r="J21" i="3" s="1"/>
  <c r="AI21" i="3" s="1"/>
  <c r="I21" i="3"/>
  <c r="AK20" i="3"/>
  <c r="AJ20" i="3"/>
  <c r="Z20" i="3"/>
  <c r="AH20" i="3" s="1"/>
  <c r="J20" i="3" s="1"/>
  <c r="AI20" i="3" s="1"/>
  <c r="I20" i="3"/>
  <c r="AK19" i="3"/>
  <c r="AJ19" i="3"/>
  <c r="Z19" i="3"/>
  <c r="AH19" i="3" s="1"/>
  <c r="J19" i="3" s="1"/>
  <c r="AI19" i="3" s="1"/>
  <c r="I19" i="3"/>
  <c r="AK18" i="3"/>
  <c r="AJ18" i="3"/>
  <c r="Z18" i="3"/>
  <c r="AH18" i="3" s="1"/>
  <c r="J18" i="3" s="1"/>
  <c r="AI18" i="3" s="1"/>
  <c r="I18" i="3"/>
  <c r="AK17" i="3"/>
  <c r="AJ17" i="3"/>
  <c r="Z17" i="3"/>
  <c r="AH17" i="3" s="1"/>
  <c r="J17" i="3" s="1"/>
  <c r="AI17" i="3" s="1"/>
  <c r="I17" i="3"/>
  <c r="AK16" i="3"/>
  <c r="AJ16" i="3"/>
  <c r="Z16" i="3"/>
  <c r="AH16" i="3" s="1"/>
  <c r="J16" i="3" s="1"/>
  <c r="AI16" i="3" s="1"/>
  <c r="I16" i="3"/>
  <c r="AK15" i="3"/>
  <c r="AJ15" i="3"/>
  <c r="Z15" i="3"/>
  <c r="AH15" i="3" s="1"/>
  <c r="J15" i="3" s="1"/>
  <c r="AI15" i="3" s="1"/>
  <c r="I15" i="3"/>
  <c r="AK14" i="3"/>
  <c r="AJ14" i="3"/>
  <c r="Z14" i="3"/>
  <c r="AH14" i="3" s="1"/>
  <c r="J14" i="3" s="1"/>
  <c r="AI14" i="3" s="1"/>
  <c r="I14" i="3"/>
  <c r="AK13" i="3"/>
  <c r="AJ13" i="3"/>
  <c r="Z13" i="3"/>
  <c r="AH13" i="3" s="1"/>
  <c r="J13" i="3" s="1"/>
  <c r="AI13" i="3" s="1"/>
  <c r="I13" i="3"/>
  <c r="AK12" i="3"/>
  <c r="AJ12" i="3"/>
  <c r="Z12" i="3"/>
  <c r="AH12" i="3" s="1"/>
  <c r="J12" i="3" s="1"/>
  <c r="AI12" i="3" s="1"/>
  <c r="I12" i="3"/>
  <c r="AK11" i="3"/>
  <c r="AJ11" i="3"/>
  <c r="Z11" i="3"/>
  <c r="AH11" i="3" s="1"/>
  <c r="J11" i="3" s="1"/>
  <c r="AI11" i="3" s="1"/>
  <c r="I11" i="3"/>
  <c r="AK10" i="3"/>
  <c r="AJ10" i="3"/>
  <c r="Z10" i="3"/>
  <c r="AH10" i="3" s="1"/>
  <c r="J10" i="3" s="1"/>
  <c r="AI10" i="3" s="1"/>
  <c r="I10" i="3"/>
  <c r="AK9" i="3"/>
  <c r="AJ9" i="3"/>
  <c r="Z9" i="3"/>
  <c r="AH9" i="3" s="1"/>
  <c r="J9" i="3" s="1"/>
  <c r="AI9" i="3" s="1"/>
  <c r="I9" i="3"/>
  <c r="AK8" i="3"/>
  <c r="AJ8" i="3"/>
  <c r="Z8" i="3"/>
  <c r="AH8" i="3" s="1"/>
  <c r="J8" i="3" s="1"/>
  <c r="AI8" i="3" s="1"/>
  <c r="I8" i="3"/>
  <c r="AK7" i="3"/>
  <c r="AJ7" i="3"/>
  <c r="Z7" i="3"/>
  <c r="AH7" i="3" s="1"/>
  <c r="J7" i="3" s="1"/>
  <c r="AI7" i="3" s="1"/>
  <c r="I7" i="3"/>
  <c r="A7" i="3"/>
  <c r="B7" i="3" s="1"/>
  <c r="AK6" i="3"/>
  <c r="AJ6" i="3"/>
  <c r="Z6" i="3"/>
  <c r="I6" i="3"/>
  <c r="B6" i="3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H36" i="2"/>
  <c r="Z35" i="2"/>
  <c r="AH35" i="2" s="1"/>
  <c r="Z34" i="2"/>
  <c r="AH34" i="2" s="1"/>
  <c r="Z33" i="2"/>
  <c r="AH33" i="2" s="1"/>
  <c r="Z32" i="2"/>
  <c r="AH32" i="2" s="1"/>
  <c r="Z31" i="2"/>
  <c r="AH31" i="2" s="1"/>
  <c r="Z30" i="2"/>
  <c r="AH30" i="2" s="1"/>
  <c r="Z29" i="2"/>
  <c r="AH29" i="2" s="1"/>
  <c r="Z28" i="2"/>
  <c r="Z27" i="2"/>
  <c r="AH27" i="2" s="1"/>
  <c r="Z26" i="2"/>
  <c r="AH26" i="2" s="1"/>
  <c r="Z25" i="2"/>
  <c r="AH25" i="2" s="1"/>
  <c r="Z24" i="2"/>
  <c r="AH24" i="2" s="1"/>
  <c r="Z23" i="2"/>
  <c r="AH23" i="2" s="1"/>
  <c r="Z22" i="2"/>
  <c r="AH22" i="2" s="1"/>
  <c r="Z21" i="2"/>
  <c r="AH21" i="2" s="1"/>
  <c r="Z20" i="2"/>
  <c r="Z19" i="2"/>
  <c r="Z18" i="2"/>
  <c r="AH18" i="2" s="1"/>
  <c r="Z17" i="2"/>
  <c r="AH17" i="2" s="1"/>
  <c r="Z16" i="2"/>
  <c r="AH16" i="2" s="1"/>
  <c r="Z15" i="2"/>
  <c r="AH15" i="2" s="1"/>
  <c r="Z14" i="2"/>
  <c r="AH14" i="2" s="1"/>
  <c r="Z13" i="2"/>
  <c r="AH13" i="2" s="1"/>
  <c r="Z12" i="2"/>
  <c r="Z11" i="2"/>
  <c r="AH11" i="2" s="1"/>
  <c r="Z10" i="2"/>
  <c r="AH10" i="2" s="1"/>
  <c r="Z9" i="2"/>
  <c r="AH9" i="2" s="1"/>
  <c r="Z8" i="2"/>
  <c r="AH8" i="2" s="1"/>
  <c r="Z7" i="2"/>
  <c r="AH7" i="2" s="1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AJ6" i="2"/>
  <c r="AK6" i="2"/>
  <c r="AH12" i="2"/>
  <c r="AH19" i="2"/>
  <c r="AH20" i="2"/>
  <c r="AH28" i="2"/>
  <c r="AL17" i="3" l="1"/>
  <c r="AL27" i="3"/>
  <c r="AL35" i="3"/>
  <c r="AL15" i="3"/>
  <c r="AL25" i="3"/>
  <c r="AL33" i="3"/>
  <c r="AL36" i="3"/>
  <c r="AL13" i="3"/>
  <c r="AL23" i="3"/>
  <c r="AL31" i="3"/>
  <c r="AL16" i="3"/>
  <c r="AL26" i="3"/>
  <c r="AL10" i="3"/>
  <c r="AL18" i="3"/>
  <c r="AL28" i="3"/>
  <c r="AL19" i="3"/>
  <c r="AL29" i="3"/>
  <c r="B6" i="14" a="1"/>
  <c r="AB6" i="14" s="1"/>
  <c r="B5" i="13" a="1"/>
  <c r="C5" i="11" a="1"/>
  <c r="AB11" i="14"/>
  <c r="C11" i="11" a="1"/>
  <c r="F11" i="11" s="1"/>
  <c r="B11" i="13" a="1"/>
  <c r="B12" i="15"/>
  <c r="AB12" i="14"/>
  <c r="B12" i="13" a="1"/>
  <c r="C12" i="11" a="1"/>
  <c r="I37" i="3"/>
  <c r="AL8" i="3"/>
  <c r="Z37" i="3"/>
  <c r="Z37" i="2"/>
  <c r="I37" i="2"/>
  <c r="AH6" i="2"/>
  <c r="A8" i="3"/>
  <c r="A9" i="3" s="1"/>
  <c r="AL7" i="3"/>
  <c r="AJ37" i="3"/>
  <c r="AH6" i="3"/>
  <c r="AH37" i="3" s="1"/>
  <c r="AL34" i="3"/>
  <c r="AL9" i="3"/>
  <c r="AL11" i="3"/>
  <c r="AL14" i="3"/>
  <c r="AL24" i="3"/>
  <c r="AL32" i="3"/>
  <c r="AL12" i="3"/>
  <c r="AL20" i="3"/>
  <c r="AL21" i="3"/>
  <c r="AL22" i="3"/>
  <c r="AL30" i="3"/>
  <c r="B8" i="3" l="1"/>
  <c r="AH37" i="2"/>
  <c r="J6" i="2"/>
  <c r="B10" i="14" a="1"/>
  <c r="AB10" i="14" s="1"/>
  <c r="B9" i="14" a="1"/>
  <c r="AB9" i="14" s="1"/>
  <c r="F5" i="11"/>
  <c r="D13" i="11"/>
  <c r="E13" i="11"/>
  <c r="B13" i="13" s="1"/>
  <c r="C13" i="13"/>
  <c r="D13" i="13"/>
  <c r="AB5" i="14"/>
  <c r="J6" i="3"/>
  <c r="J37" i="3" s="1"/>
  <c r="B10" i="11" s="1"/>
  <c r="B9" i="3"/>
  <c r="A10" i="3"/>
  <c r="C7" i="16" l="1"/>
  <c r="N13" i="14"/>
  <c r="J13" i="14"/>
  <c r="W13" i="14"/>
  <c r="V13" i="14"/>
  <c r="O13" i="14"/>
  <c r="F13" i="14"/>
  <c r="S13" i="14"/>
  <c r="L13" i="14"/>
  <c r="K13" i="14"/>
  <c r="U13" i="14"/>
  <c r="X13" i="14"/>
  <c r="T13" i="14"/>
  <c r="D4" i="15" a="1"/>
  <c r="F5" i="15" s="1"/>
  <c r="Z13" i="14"/>
  <c r="C13" i="14"/>
  <c r="H13" i="14"/>
  <c r="M13" i="14"/>
  <c r="AA13" i="14"/>
  <c r="B13" i="14"/>
  <c r="Y13" i="14"/>
  <c r="I13" i="14"/>
  <c r="E13" i="14"/>
  <c r="D13" i="14"/>
  <c r="G13" i="14"/>
  <c r="C6" i="16" a="1"/>
  <c r="B12" i="11"/>
  <c r="F12" i="11"/>
  <c r="C13" i="11"/>
  <c r="F13" i="11" s="1"/>
  <c r="AB13" i="14"/>
  <c r="E6" i="13" a="1"/>
  <c r="B10" i="3"/>
  <c r="A11" i="3"/>
  <c r="AI37" i="3"/>
  <c r="AI6" i="3"/>
  <c r="AL6" i="3" s="1"/>
  <c r="F9" i="15" l="1"/>
  <c r="F7" i="15"/>
  <c r="F4" i="15" s="1"/>
  <c r="F10" i="15"/>
  <c r="F8" i="15"/>
  <c r="F6" i="15"/>
  <c r="F11" i="15"/>
  <c r="B11" i="11"/>
  <c r="E12" i="13" a="1"/>
  <c r="AL37" i="3"/>
  <c r="E10" i="13" s="1" a="1"/>
  <c r="B5" i="11"/>
  <c r="B11" i="3"/>
  <c r="A12" i="3"/>
  <c r="D12" i="15" l="1"/>
  <c r="F12" i="15" s="1"/>
  <c r="E11" i="13" a="1"/>
  <c r="E5" i="13" a="1"/>
  <c r="A13" i="3"/>
  <c r="B12" i="3"/>
  <c r="B13" i="3"/>
  <c r="A14" i="3"/>
  <c r="A15" i="3" l="1"/>
  <c r="B14" i="3"/>
  <c r="B15" i="3" l="1"/>
  <c r="A16" i="3"/>
  <c r="A17" i="3" l="1"/>
  <c r="B16" i="3"/>
  <c r="B17" i="3" l="1"/>
  <c r="A18" i="3"/>
  <c r="B18" i="3" l="1"/>
  <c r="A19" i="3"/>
  <c r="B19" i="3" l="1"/>
  <c r="A20" i="3"/>
  <c r="A21" i="3" l="1"/>
  <c r="B20" i="3"/>
  <c r="B21" i="3" l="1"/>
  <c r="A22" i="3"/>
  <c r="B22" i="3" l="1"/>
  <c r="A23" i="3"/>
  <c r="B23" i="3" l="1"/>
  <c r="A24" i="3"/>
  <c r="A25" i="3" l="1"/>
  <c r="B24" i="3"/>
  <c r="B25" i="3" l="1"/>
  <c r="A26" i="3"/>
  <c r="B26" i="3" l="1"/>
  <c r="A27" i="3"/>
  <c r="B27" i="3" l="1"/>
  <c r="A28" i="3"/>
  <c r="A29" i="3" l="1"/>
  <c r="B28" i="3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B29" i="3" l="1"/>
  <c r="A30" i="3"/>
  <c r="AJ36" i="2"/>
  <c r="J36" i="2"/>
  <c r="AI36" i="2" s="1"/>
  <c r="B36" i="2"/>
  <c r="AJ35" i="2"/>
  <c r="J35" i="2"/>
  <c r="AI35" i="2" s="1"/>
  <c r="B35" i="2"/>
  <c r="AJ34" i="2"/>
  <c r="J34" i="2"/>
  <c r="AI34" i="2" s="1"/>
  <c r="B34" i="2"/>
  <c r="AJ33" i="2"/>
  <c r="J33" i="2"/>
  <c r="AI33" i="2" s="1"/>
  <c r="B33" i="2"/>
  <c r="AJ32" i="2"/>
  <c r="J32" i="2"/>
  <c r="AI32" i="2" s="1"/>
  <c r="B32" i="2"/>
  <c r="AJ31" i="2"/>
  <c r="J31" i="2"/>
  <c r="AI31" i="2" s="1"/>
  <c r="B31" i="2"/>
  <c r="AJ30" i="2"/>
  <c r="J30" i="2"/>
  <c r="AI30" i="2" s="1"/>
  <c r="B30" i="2"/>
  <c r="AJ29" i="2"/>
  <c r="J29" i="2"/>
  <c r="AI29" i="2" s="1"/>
  <c r="B29" i="2"/>
  <c r="AJ28" i="2"/>
  <c r="J28" i="2"/>
  <c r="AI28" i="2" s="1"/>
  <c r="B28" i="2"/>
  <c r="AJ27" i="2"/>
  <c r="J27" i="2"/>
  <c r="AI27" i="2" s="1"/>
  <c r="B27" i="2"/>
  <c r="AJ26" i="2"/>
  <c r="J26" i="2"/>
  <c r="AI26" i="2" s="1"/>
  <c r="B26" i="2"/>
  <c r="AJ25" i="2"/>
  <c r="J25" i="2"/>
  <c r="AI25" i="2" s="1"/>
  <c r="B25" i="2"/>
  <c r="AJ24" i="2"/>
  <c r="J24" i="2"/>
  <c r="AI24" i="2" s="1"/>
  <c r="B24" i="2"/>
  <c r="AJ23" i="2"/>
  <c r="J23" i="2"/>
  <c r="AI23" i="2" s="1"/>
  <c r="B23" i="2"/>
  <c r="AJ22" i="2"/>
  <c r="J22" i="2"/>
  <c r="AI22" i="2" s="1"/>
  <c r="B22" i="2"/>
  <c r="AJ21" i="2"/>
  <c r="J21" i="2"/>
  <c r="AI21" i="2" s="1"/>
  <c r="B21" i="2"/>
  <c r="AJ20" i="2"/>
  <c r="J20" i="2"/>
  <c r="AI20" i="2" s="1"/>
  <c r="B20" i="2"/>
  <c r="AJ19" i="2"/>
  <c r="J19" i="2"/>
  <c r="AI19" i="2" s="1"/>
  <c r="B19" i="2"/>
  <c r="AJ18" i="2"/>
  <c r="J18" i="2"/>
  <c r="AI18" i="2" s="1"/>
  <c r="B18" i="2"/>
  <c r="AJ17" i="2"/>
  <c r="J17" i="2"/>
  <c r="AI17" i="2" s="1"/>
  <c r="B17" i="2"/>
  <c r="AJ16" i="2"/>
  <c r="J16" i="2"/>
  <c r="AI16" i="2" s="1"/>
  <c r="B16" i="2"/>
  <c r="AJ15" i="2"/>
  <c r="J15" i="2"/>
  <c r="AI15" i="2" s="1"/>
  <c r="B15" i="2"/>
  <c r="AJ14" i="2"/>
  <c r="J14" i="2"/>
  <c r="AI14" i="2" s="1"/>
  <c r="B14" i="2"/>
  <c r="AJ13" i="2"/>
  <c r="J13" i="2"/>
  <c r="AI13" i="2" s="1"/>
  <c r="B13" i="2"/>
  <c r="AJ12" i="2"/>
  <c r="J12" i="2"/>
  <c r="AI12" i="2" s="1"/>
  <c r="B12" i="2"/>
  <c r="AJ11" i="2"/>
  <c r="J11" i="2"/>
  <c r="AI11" i="2" s="1"/>
  <c r="B11" i="2"/>
  <c r="AJ10" i="2"/>
  <c r="J10" i="2"/>
  <c r="AI10" i="2" s="1"/>
  <c r="B10" i="2"/>
  <c r="AJ9" i="2"/>
  <c r="J9" i="2"/>
  <c r="AI9" i="2" s="1"/>
  <c r="B9" i="2"/>
  <c r="AJ8" i="2"/>
  <c r="J8" i="2"/>
  <c r="AI8" i="2" s="1"/>
  <c r="B8" i="2"/>
  <c r="AK7" i="2"/>
  <c r="AJ7" i="2"/>
  <c r="J7" i="2"/>
  <c r="AI7" i="2" s="1"/>
  <c r="B7" i="2"/>
  <c r="B6" i="2"/>
  <c r="AI6" i="2" l="1"/>
  <c r="AL6" i="2" s="1"/>
  <c r="J37" i="2"/>
  <c r="B9" i="11" s="1"/>
  <c r="AJ37" i="2"/>
  <c r="AK37" i="2"/>
  <c r="B30" i="3"/>
  <c r="A31" i="3"/>
  <c r="AL7" i="2"/>
  <c r="AL21" i="2"/>
  <c r="AL23" i="2"/>
  <c r="AL25" i="2"/>
  <c r="AL9" i="2"/>
  <c r="AL32" i="2"/>
  <c r="AL16" i="2"/>
  <c r="AL22" i="2"/>
  <c r="AL17" i="2"/>
  <c r="AL18" i="2"/>
  <c r="AL24" i="2"/>
  <c r="AL33" i="2"/>
  <c r="AL34" i="2"/>
  <c r="AL10" i="2"/>
  <c r="AL26" i="2"/>
  <c r="AL12" i="2"/>
  <c r="AL28" i="2"/>
  <c r="AL13" i="2"/>
  <c r="AL14" i="2"/>
  <c r="AL29" i="2"/>
  <c r="AL30" i="2"/>
  <c r="AL19" i="2"/>
  <c r="AL35" i="2"/>
  <c r="AL8" i="2"/>
  <c r="AL15" i="2"/>
  <c r="AL31" i="2"/>
  <c r="AL11" i="2"/>
  <c r="AL20" i="2"/>
  <c r="AL27" i="2"/>
  <c r="AL36" i="2"/>
  <c r="AI37" i="2" l="1"/>
  <c r="AL37" i="2" s="1"/>
  <c r="E9" i="13" s="1" a="1"/>
  <c r="E13" i="13" s="1"/>
  <c r="AC5" i="14" a="1"/>
  <c r="B13" i="11"/>
  <c r="B31" i="3"/>
  <c r="A32" i="3"/>
  <c r="AD6" i="14" l="1"/>
  <c r="AD7" i="14"/>
  <c r="F13" i="13"/>
  <c r="AE8" i="14"/>
  <c r="AD9" i="14"/>
  <c r="AD8" i="14"/>
  <c r="AD11" i="14"/>
  <c r="AE11" i="14"/>
  <c r="AE7" i="14"/>
  <c r="AD10" i="14"/>
  <c r="AE6" i="14"/>
  <c r="AE12" i="14"/>
  <c r="AD12" i="14"/>
  <c r="AE10" i="14"/>
  <c r="AE9" i="14"/>
  <c r="G13" i="13"/>
  <c r="H13" i="13"/>
  <c r="A33" i="3"/>
  <c r="B32" i="3"/>
  <c r="F7" i="16" l="1" a="1"/>
  <c r="AD13" i="14"/>
  <c r="AC13" i="14"/>
  <c r="AE13" i="14" s="1"/>
  <c r="AD5" i="14"/>
  <c r="C4" i="15" s="1" a="1"/>
  <c r="AE5" i="14"/>
  <c r="B33" i="3"/>
  <c r="A34" i="3"/>
  <c r="E10" i="15" l="1"/>
  <c r="E5" i="15"/>
  <c r="E7" i="15"/>
  <c r="E11" i="15"/>
  <c r="E9" i="15"/>
  <c r="E6" i="15"/>
  <c r="E8" i="15"/>
  <c r="B34" i="3"/>
  <c r="A35" i="3"/>
  <c r="C12" i="15" l="1"/>
  <c r="E12" i="15" s="1"/>
  <c r="E4" i="15"/>
  <c r="B35" i="3"/>
  <c r="A36" i="3"/>
  <c r="B36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<sst xmlns="http://schemas.openxmlformats.org/spreadsheetml/2006/main" count="1587" uniqueCount="114">
  <si>
    <t>MEP FAN LTD.</t>
  </si>
  <si>
    <t>Production Performance Analysis Report</t>
  </si>
  <si>
    <t>Date</t>
  </si>
  <si>
    <t>Day</t>
  </si>
  <si>
    <t>Shift</t>
  </si>
  <si>
    <t>Machine Name</t>
  </si>
  <si>
    <t>Rejection (Pcs)</t>
  </si>
  <si>
    <t>Planned Production Time (mins)</t>
  </si>
  <si>
    <t>Die/ Mold Problem</t>
  </si>
  <si>
    <t>Air Presser Problem</t>
  </si>
  <si>
    <t>Water line Problem</t>
  </si>
  <si>
    <t>Lift Problem</t>
  </si>
  <si>
    <t>D Coil Insert</t>
  </si>
  <si>
    <t>RM Shortage</t>
  </si>
  <si>
    <t>Crean Problem</t>
  </si>
  <si>
    <t>Conveyor Belt Problem</t>
  </si>
  <si>
    <t>Fitting Problem</t>
  </si>
  <si>
    <t>Total Down Time (Mins)</t>
  </si>
  <si>
    <t>Availability (%)</t>
  </si>
  <si>
    <t>Performance (%)</t>
  </si>
  <si>
    <t>Quality (%)</t>
  </si>
  <si>
    <t>OEE (%)</t>
  </si>
  <si>
    <t>Remarks</t>
  </si>
  <si>
    <t>Morning</t>
  </si>
  <si>
    <t>Conveyor Belt</t>
  </si>
  <si>
    <t>UPS shutdown</t>
  </si>
  <si>
    <t>Planned Prd. Time (Min)</t>
  </si>
  <si>
    <t>Machine Breakdown</t>
  </si>
  <si>
    <t>Heater/Coil  Problem</t>
  </si>
  <si>
    <t>Power Shutdown</t>
  </si>
  <si>
    <t>Worker Absent</t>
  </si>
  <si>
    <t>Load Problem</t>
  </si>
  <si>
    <t>Namaz</t>
  </si>
  <si>
    <t>Gas Presser Problem</t>
  </si>
  <si>
    <t>Total:</t>
  </si>
  <si>
    <t>Production Capacity (Pcs)</t>
  </si>
  <si>
    <t>Mold polish &amp; Clean</t>
  </si>
  <si>
    <t>Robot Problems</t>
  </si>
  <si>
    <t>Model/ Die Change</t>
  </si>
  <si>
    <t>Alu. Recipe Problem</t>
  </si>
  <si>
    <t>Alu. Ash Extraction</t>
  </si>
  <si>
    <t>Actual Prd. (Pcs)</t>
  </si>
  <si>
    <t>Expected DownTime (Min)</t>
  </si>
  <si>
    <t>Total Prd. Run Time (Min)</t>
  </si>
  <si>
    <t xml:space="preserve">Printer M/C Problem </t>
  </si>
  <si>
    <t>Winding Machine</t>
  </si>
  <si>
    <t>Machine Capacity (Pcs)</t>
  </si>
  <si>
    <t>Shank</t>
  </si>
  <si>
    <t>Clamp</t>
  </si>
  <si>
    <t>Blade</t>
  </si>
  <si>
    <t>Downpipe</t>
  </si>
  <si>
    <t>Rotor &amp; Stator</t>
  </si>
  <si>
    <t>Blade Rivet</t>
  </si>
  <si>
    <t>Section Name</t>
  </si>
  <si>
    <t xml:space="preserve">Production Running (hr) </t>
  </si>
  <si>
    <t>Prodcution Qty.</t>
  </si>
  <si>
    <t>Standrad  Wise Production Output (%)</t>
  </si>
  <si>
    <t>Production (pcs)</t>
  </si>
  <si>
    <t xml:space="preserve">Fan Assemble </t>
  </si>
  <si>
    <t>Fan Armature</t>
  </si>
  <si>
    <t xml:space="preserve">Rechargeable Fan </t>
  </si>
  <si>
    <t xml:space="preserve">Exhaust Fan </t>
  </si>
  <si>
    <t>Machine Capacity  (Pcs)</t>
  </si>
  <si>
    <t>Fan Power Press &amp; Stamping</t>
  </si>
  <si>
    <t>Fan Auto Powder Coating</t>
  </si>
  <si>
    <t>Rotor (CNC)</t>
  </si>
  <si>
    <t>Top Cover (CNC)</t>
  </si>
  <si>
    <t>Bottom Cover (CNC)</t>
  </si>
  <si>
    <t>Fan Auto Die Casting</t>
  </si>
  <si>
    <t xml:space="preserve">Fan Lathe </t>
  </si>
  <si>
    <t>Total</t>
  </si>
  <si>
    <t>Machine No.</t>
  </si>
  <si>
    <t>Production Qty.</t>
  </si>
  <si>
    <t>Remark's</t>
  </si>
  <si>
    <t>Total Production (pcs)</t>
  </si>
  <si>
    <t xml:space="preserve">Total </t>
  </si>
  <si>
    <t>Total Acheivement (%)</t>
  </si>
  <si>
    <t>Section</t>
  </si>
  <si>
    <t>Production Running Time ( Mins)</t>
  </si>
  <si>
    <t>Total Run Time (Mins)</t>
  </si>
  <si>
    <t>Total Down Time (%)</t>
  </si>
  <si>
    <t>Total  (Mins)</t>
  </si>
  <si>
    <t>Production Run Time (Mins)</t>
  </si>
  <si>
    <t>Machine Down Time (Mins)</t>
  </si>
  <si>
    <t>Production Running Time (%)</t>
  </si>
  <si>
    <t>Production Down Time (%)</t>
  </si>
  <si>
    <t xml:space="preserve">SubTotal </t>
  </si>
  <si>
    <t xml:space="preserve">         MEP FAN LTD.        </t>
  </si>
  <si>
    <t>Month</t>
  </si>
  <si>
    <t>Detail</t>
  </si>
  <si>
    <t>January</t>
  </si>
  <si>
    <t>Total Acheivement  (%)</t>
  </si>
  <si>
    <t>APC (Blade)</t>
  </si>
  <si>
    <t>APC (Downpipe)</t>
  </si>
  <si>
    <t>APC (Body, Cover)</t>
  </si>
  <si>
    <t>Auto Die Casting (Body)</t>
  </si>
  <si>
    <t>Auto Die Casting (Cover)</t>
  </si>
  <si>
    <t>Blade(5601)</t>
  </si>
  <si>
    <t>Blade(5602)</t>
  </si>
  <si>
    <t>Shank(5602)</t>
  </si>
  <si>
    <t xml:space="preserve">Box Moving </t>
  </si>
  <si>
    <t>Up Casting Meeting</t>
  </si>
  <si>
    <t>Sheet Cutting&amp; Pipe Carry</t>
  </si>
  <si>
    <t>Shank(5601)</t>
  </si>
  <si>
    <t>Rotor &amp; Stator(6")</t>
  </si>
  <si>
    <t>Rotor &amp; Stator(7")</t>
  </si>
  <si>
    <t xml:space="preserve">                                                                                          </t>
  </si>
  <si>
    <t>Summary of OEE (2026)</t>
  </si>
  <si>
    <t>No need Rotor Production</t>
  </si>
  <si>
    <t>Not abailable Man power</t>
  </si>
  <si>
    <t>Not abailable Operator</t>
  </si>
  <si>
    <t>No abailable  Blade</t>
  </si>
  <si>
    <t>Burner Problem</t>
  </si>
  <si>
    <t>No abailable Top-Bottom &amp; Blade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</si>
</sst>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0;;"/>
    <numFmt numFmtId="165" formatCode="[$-409]d\-mmm\-yy;@"/>
    <numFmt numFmtId="166" formatCode="ddd"/>
    <numFmt numFmtId="167" formatCode="_(* #,##0_);_(* \(#,##0\);_(* &quot;-&quot;??_);_(@_)"/>
    <numFmt numFmtId="168" formatCode="0.0%"/>
    <numFmt numFmtId="169" formatCode="0.00000000000000%"/>
    <numFmt numFmtId="170" formatCode="0.000000000000000%"/>
    <numFmt numFmtId="171" formatCode="mmmm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20"/>
      <color theme="0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8"/>
      <color theme="0"/>
      <name val="Times New Roman"/>
      <family val="1"/>
    </font>
    <font>
      <b/>
      <sz val="24"/>
      <color theme="0"/>
      <name val="Times New Roman"/>
      <family val="1"/>
    </font>
    <font>
      <b/>
      <sz val="22"/>
      <color theme="0"/>
      <name val="Times New Roman"/>
      <family val="1"/>
    </font>
    <font>
      <b/>
      <sz val="18"/>
      <color theme="0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  <font>
      <b/>
      <sz val="10"/>
      <color theme="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  <font>
      <b/>
      <sz val="8"/>
      <color theme="1"/>
      <name val="Times New Roman"/>
      <family val="1"/>
    </font>
    <font>
      <b/>
      <sz val="8"/>
      <color theme="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Aptos Narrow"/>
      <family val="2"/>
      <scheme val="minor"/>
    </font>
    <font>
      <b/>
      <sz val="11"/>
      <color rgb="FF242424"/>
      <name val="Times New Roman"/>
      <family val="1"/>
    </font>
  </fonts>
  <fills count="31">
    <fill>
      <patternFill patternType="none"/>
    </fill>
    <fill>
      <patternFill patternType="gray125"/>
    </fill>
    <fill>
      <gradientFill degree="90">
        <stop position="0">
          <color theme="3" tint="0.25098422193060094"/>
        </stop>
        <stop position="1">
          <color theme="3" tint="0.49803155613879818"/>
        </stop>
      </gradientFill>
    </fill>
    <fill>
      <patternFill patternType="solid">
        <fgColor theme="3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7" tint="0.39997558519241921"/>
        <bgColor auto="1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gradientFill degree="270">
        <stop position="0">
          <color theme="3" tint="0.49803155613879818"/>
        </stop>
        <stop position="1">
          <color theme="3" tint="0.25098422193060094"/>
        </stop>
      </gradientFill>
    </fill>
    <fill>
      <patternFill patternType="solid">
        <fgColor rgb="FFCC66FF"/>
        <bgColor indexed="64"/>
      </patternFill>
    </fill>
    <fill>
      <patternFill patternType="solid">
        <fgColor rgb="FFFF5050"/>
        <bgColor rgb="FF000000"/>
      </patternFill>
    </fill>
    <fill>
      <patternFill patternType="solid">
        <fgColor rgb="FFFF7C80"/>
        <bgColor rgb="FF000000"/>
      </patternFill>
    </fill>
  </fills>
  <borders count="10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/>
      <diagonal/>
    </border>
    <border>
      <left style="medium">
        <color indexed="64"/>
      </left>
      <right style="medium">
        <color theme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theme="1"/>
      </right>
      <top/>
      <bottom style="medium">
        <color theme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theme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>
      <alignment vertical="center"/>
    </xf>
  </cellStyleXfs>
  <cellXfs count="405">
    <xf numFmtId="0" fontId="0" fillId="0" borderId="0" xfId="0"/>
    <xf numFmtId="0" fontId="15" fillId="0" borderId="0" xfId="0" applyFont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6" fillId="7" borderId="20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 textRotation="90" wrapText="1"/>
    </xf>
    <xf numFmtId="9" fontId="16" fillId="9" borderId="9" xfId="2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16" fontId="17" fillId="0" borderId="19" xfId="0" applyNumberFormat="1" applyFont="1" applyBorder="1" applyAlignment="1">
      <alignment horizontal="center" vertical="center"/>
    </xf>
    <xf numFmtId="0" fontId="15" fillId="0" borderId="9" xfId="3" applyFont="1" applyBorder="1" applyAlignment="1">
      <alignment horizontal="center" vertical="center"/>
    </xf>
    <xf numFmtId="1" fontId="16" fillId="0" borderId="9" xfId="0" applyNumberFormat="1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167" fontId="15" fillId="0" borderId="0" xfId="1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5" fillId="0" borderId="0" xfId="1" applyNumberFormat="1" applyFont="1" applyAlignment="1">
      <alignment horizontal="center" vertical="center"/>
    </xf>
    <xf numFmtId="10" fontId="15" fillId="0" borderId="0" xfId="0" applyNumberFormat="1" applyFont="1" applyAlignment="1">
      <alignment horizontal="center" vertical="center"/>
    </xf>
    <xf numFmtId="9" fontId="15" fillId="0" borderId="0" xfId="2" applyFont="1" applyAlignment="1">
      <alignment horizontal="center" vertical="center"/>
    </xf>
    <xf numFmtId="0" fontId="20" fillId="4" borderId="36" xfId="0" applyFont="1" applyFill="1" applyBorder="1" applyAlignment="1">
      <alignment horizontal="center" vertical="center" textRotation="90" wrapText="1"/>
    </xf>
    <xf numFmtId="9" fontId="20" fillId="4" borderId="36" xfId="2" applyFont="1" applyFill="1" applyBorder="1" applyAlignment="1">
      <alignment horizontal="center" vertical="center" textRotation="90" wrapText="1"/>
    </xf>
    <xf numFmtId="164" fontId="10" fillId="4" borderId="37" xfId="0" applyNumberFormat="1" applyFont="1" applyFill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16" fillId="12" borderId="9" xfId="0" applyFont="1" applyFill="1" applyBorder="1" applyAlignment="1">
      <alignment horizontal="center" vertical="center"/>
    </xf>
    <xf numFmtId="0" fontId="21" fillId="11" borderId="36" xfId="0" applyFont="1" applyFill="1" applyBorder="1" applyAlignment="1">
      <alignment horizontal="center" vertical="center" textRotation="90" wrapText="1"/>
    </xf>
    <xf numFmtId="1" fontId="14" fillId="13" borderId="21" xfId="1" applyNumberFormat="1" applyFont="1" applyFill="1" applyBorder="1" applyAlignment="1">
      <alignment horizontal="center" vertical="center"/>
    </xf>
    <xf numFmtId="9" fontId="14" fillId="13" borderId="9" xfId="2" applyFont="1" applyFill="1" applyBorder="1" applyAlignment="1">
      <alignment horizontal="center" vertical="center"/>
    </xf>
    <xf numFmtId="0" fontId="20" fillId="4" borderId="35" xfId="0" applyFont="1" applyFill="1" applyBorder="1" applyAlignment="1">
      <alignment horizontal="center" vertical="center" textRotation="90" wrapText="1"/>
    </xf>
    <xf numFmtId="1" fontId="15" fillId="15" borderId="9" xfId="0" applyNumberFormat="1" applyFont="1" applyFill="1" applyBorder="1" applyAlignment="1">
      <alignment horizontal="center" vertical="center"/>
    </xf>
    <xf numFmtId="164" fontId="19" fillId="13" borderId="9" xfId="2" applyNumberFormat="1" applyFont="1" applyFill="1" applyBorder="1" applyAlignment="1">
      <alignment horizontal="center" vertical="center" wrapText="1"/>
    </xf>
    <xf numFmtId="164" fontId="15" fillId="0" borderId="0" xfId="0" applyNumberFormat="1" applyFont="1" applyAlignment="1">
      <alignment horizontal="center" vertical="center" wrapText="1"/>
    </xf>
    <xf numFmtId="167" fontId="15" fillId="0" borderId="18" xfId="0" applyNumberFormat="1" applyFont="1" applyBorder="1" applyAlignment="1">
      <alignment horizontal="center" vertical="center"/>
    </xf>
    <xf numFmtId="0" fontId="21" fillId="11" borderId="7" xfId="0" applyFont="1" applyFill="1" applyBorder="1" applyAlignment="1">
      <alignment horizontal="center" vertical="center" textRotation="90" wrapText="1"/>
    </xf>
    <xf numFmtId="0" fontId="20" fillId="4" borderId="40" xfId="0" applyFont="1" applyFill="1" applyBorder="1" applyAlignment="1">
      <alignment horizontal="center" vertical="center" textRotation="90" wrapText="1"/>
    </xf>
    <xf numFmtId="0" fontId="20" fillId="4" borderId="41" xfId="1" applyNumberFormat="1" applyFont="1" applyFill="1" applyBorder="1" applyAlignment="1">
      <alignment horizontal="center" vertical="center" textRotation="90" wrapText="1"/>
    </xf>
    <xf numFmtId="0" fontId="21" fillId="11" borderId="35" xfId="0" applyFont="1" applyFill="1" applyBorder="1" applyAlignment="1">
      <alignment horizontal="center" vertical="center" textRotation="90" wrapText="1"/>
    </xf>
    <xf numFmtId="164" fontId="15" fillId="0" borderId="9" xfId="0" applyNumberFormat="1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top" wrapText="1"/>
    </xf>
    <xf numFmtId="16" fontId="17" fillId="0" borderId="30" xfId="0" applyNumberFormat="1" applyFont="1" applyBorder="1" applyAlignment="1">
      <alignment horizontal="center" vertical="center"/>
    </xf>
    <xf numFmtId="0" fontId="15" fillId="0" borderId="23" xfId="3" applyFont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9" fontId="16" fillId="9" borderId="23" xfId="2" applyFont="1" applyFill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9" fontId="16" fillId="9" borderId="28" xfId="2" applyFont="1" applyFill="1" applyBorder="1" applyAlignment="1">
      <alignment horizontal="center" vertical="center"/>
    </xf>
    <xf numFmtId="16" fontId="17" fillId="0" borderId="46" xfId="0" applyNumberFormat="1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165" fontId="16" fillId="6" borderId="9" xfId="0" applyNumberFormat="1" applyFont="1" applyFill="1" applyBorder="1" applyAlignment="1">
      <alignment horizontal="center" vertical="center"/>
    </xf>
    <xf numFmtId="166" fontId="16" fillId="6" borderId="9" xfId="0" applyNumberFormat="1" applyFont="1" applyFill="1" applyBorder="1" applyAlignment="1">
      <alignment horizontal="center" vertical="center"/>
    </xf>
    <xf numFmtId="16" fontId="17" fillId="0" borderId="9" xfId="0" applyNumberFormat="1" applyFont="1" applyBorder="1" applyAlignment="1">
      <alignment horizontal="center" vertical="center"/>
    </xf>
    <xf numFmtId="0" fontId="15" fillId="0" borderId="9" xfId="0" applyFont="1" applyBorder="1" applyAlignment="1">
      <alignment horizontal="center"/>
    </xf>
    <xf numFmtId="167" fontId="15" fillId="0" borderId="9" xfId="0" applyNumberFormat="1" applyFont="1" applyBorder="1" applyAlignment="1">
      <alignment horizontal="center" vertical="center"/>
    </xf>
    <xf numFmtId="0" fontId="16" fillId="4" borderId="9" xfId="1" applyNumberFormat="1" applyFont="1" applyFill="1" applyBorder="1" applyAlignment="1">
      <alignment horizontal="center" vertical="center"/>
    </xf>
    <xf numFmtId="16" fontId="17" fillId="0" borderId="23" xfId="0" applyNumberFormat="1" applyFont="1" applyBorder="1" applyAlignment="1">
      <alignment horizontal="center" vertical="center"/>
    </xf>
    <xf numFmtId="0" fontId="15" fillId="0" borderId="23" xfId="0" applyFont="1" applyBorder="1" applyAlignment="1">
      <alignment horizontal="center"/>
    </xf>
    <xf numFmtId="167" fontId="15" fillId="0" borderId="23" xfId="0" applyNumberFormat="1" applyFont="1" applyBorder="1" applyAlignment="1">
      <alignment horizontal="center" vertical="center"/>
    </xf>
    <xf numFmtId="0" fontId="16" fillId="4" borderId="23" xfId="1" applyNumberFormat="1" applyFont="1" applyFill="1" applyBorder="1" applyAlignment="1">
      <alignment horizontal="center" vertical="center"/>
    </xf>
    <xf numFmtId="16" fontId="17" fillId="0" borderId="28" xfId="0" applyNumberFormat="1" applyFont="1" applyBorder="1" applyAlignment="1">
      <alignment horizontal="center" vertical="center"/>
    </xf>
    <xf numFmtId="0" fontId="15" fillId="0" borderId="28" xfId="3" applyFont="1" applyBorder="1" applyAlignment="1">
      <alignment horizontal="center" vertical="center"/>
    </xf>
    <xf numFmtId="167" fontId="15" fillId="0" borderId="28" xfId="0" applyNumberFormat="1" applyFont="1" applyBorder="1" applyAlignment="1">
      <alignment horizontal="center" vertical="center"/>
    </xf>
    <xf numFmtId="0" fontId="16" fillId="4" borderId="28" xfId="1" applyNumberFormat="1" applyFont="1" applyFill="1" applyBorder="1" applyAlignment="1">
      <alignment horizontal="center" vertical="center"/>
    </xf>
    <xf numFmtId="0" fontId="16" fillId="0" borderId="30" xfId="1" applyNumberFormat="1" applyFont="1" applyFill="1" applyBorder="1" applyAlignment="1">
      <alignment horizontal="center" vertical="center"/>
    </xf>
    <xf numFmtId="9" fontId="16" fillId="0" borderId="23" xfId="2" applyFont="1" applyFill="1" applyBorder="1" applyAlignment="1">
      <alignment horizontal="center" vertical="center"/>
    </xf>
    <xf numFmtId="9" fontId="16" fillId="0" borderId="9" xfId="2" applyFont="1" applyFill="1" applyBorder="1" applyAlignment="1">
      <alignment horizontal="center" vertical="center"/>
    </xf>
    <xf numFmtId="0" fontId="16" fillId="0" borderId="34" xfId="1" applyNumberFormat="1" applyFont="1" applyFill="1" applyBorder="1" applyAlignment="1">
      <alignment horizontal="center" vertical="center"/>
    </xf>
    <xf numFmtId="0" fontId="16" fillId="0" borderId="47" xfId="1" applyNumberFormat="1" applyFont="1" applyFill="1" applyBorder="1" applyAlignment="1">
      <alignment horizontal="center" vertical="center"/>
    </xf>
    <xf numFmtId="9" fontId="16" fillId="0" borderId="20" xfId="2" applyFont="1" applyFill="1" applyBorder="1" applyAlignment="1">
      <alignment horizontal="center" vertical="center"/>
    </xf>
    <xf numFmtId="0" fontId="16" fillId="0" borderId="23" xfId="1" applyNumberFormat="1" applyFont="1" applyFill="1" applyBorder="1" applyAlignment="1">
      <alignment horizontal="center" vertical="center"/>
    </xf>
    <xf numFmtId="0" fontId="16" fillId="0" borderId="9" xfId="1" applyNumberFormat="1" applyFont="1" applyFill="1" applyBorder="1" applyAlignment="1">
      <alignment horizontal="center" vertical="center"/>
    </xf>
    <xf numFmtId="0" fontId="16" fillId="0" borderId="28" xfId="1" applyNumberFormat="1" applyFont="1" applyFill="1" applyBorder="1" applyAlignment="1">
      <alignment horizontal="center" vertical="center"/>
    </xf>
    <xf numFmtId="9" fontId="16" fillId="0" borderId="28" xfId="2" applyFont="1" applyFill="1" applyBorder="1" applyAlignment="1">
      <alignment horizontal="center" vertical="center"/>
    </xf>
    <xf numFmtId="0" fontId="15" fillId="0" borderId="23" xfId="3" applyFont="1" applyBorder="1" applyAlignment="1">
      <alignment horizontal="left" vertical="center"/>
    </xf>
    <xf numFmtId="164" fontId="15" fillId="0" borderId="9" xfId="0" applyNumberFormat="1" applyFont="1" applyBorder="1" applyAlignment="1">
      <alignment horizontal="left" vertical="center"/>
    </xf>
    <xf numFmtId="0" fontId="15" fillId="0" borderId="15" xfId="3" applyFont="1" applyBorder="1" applyAlignment="1">
      <alignment horizontal="left" vertical="center"/>
    </xf>
    <xf numFmtId="0" fontId="15" fillId="0" borderId="9" xfId="3" applyFont="1" applyBorder="1" applyAlignment="1">
      <alignment horizontal="left" vertical="center"/>
    </xf>
    <xf numFmtId="0" fontId="15" fillId="0" borderId="28" xfId="3" applyFont="1" applyBorder="1" applyAlignment="1">
      <alignment horizontal="left" vertical="center"/>
    </xf>
    <xf numFmtId="0" fontId="20" fillId="4" borderId="6" xfId="0" applyFont="1" applyFill="1" applyBorder="1" applyAlignment="1">
      <alignment horizontal="center" vertical="center" textRotation="90" wrapText="1"/>
    </xf>
    <xf numFmtId="0" fontId="20" fillId="4" borderId="7" xfId="0" applyFont="1" applyFill="1" applyBorder="1" applyAlignment="1">
      <alignment horizontal="center" vertical="center" textRotation="90" wrapText="1"/>
    </xf>
    <xf numFmtId="0" fontId="20" fillId="4" borderId="48" xfId="0" applyFont="1" applyFill="1" applyBorder="1" applyAlignment="1">
      <alignment horizontal="center" vertical="center" textRotation="90" wrapText="1"/>
    </xf>
    <xf numFmtId="0" fontId="21" fillId="11" borderId="6" xfId="0" applyFont="1" applyFill="1" applyBorder="1" applyAlignment="1">
      <alignment horizontal="center" vertical="center" textRotation="90" wrapText="1"/>
    </xf>
    <xf numFmtId="0" fontId="20" fillId="4" borderId="49" xfId="1" applyNumberFormat="1" applyFont="1" applyFill="1" applyBorder="1" applyAlignment="1">
      <alignment horizontal="center" vertical="center" textRotation="90" wrapText="1"/>
    </xf>
    <xf numFmtId="9" fontId="20" fillId="4" borderId="7" xfId="2" applyFont="1" applyFill="1" applyBorder="1" applyAlignment="1">
      <alignment horizontal="center" vertical="center" textRotation="90" wrapText="1"/>
    </xf>
    <xf numFmtId="164" fontId="10" fillId="4" borderId="50" xfId="0" applyNumberFormat="1" applyFont="1" applyFill="1" applyBorder="1" applyAlignment="1">
      <alignment horizontal="center" vertical="center" textRotation="180" wrapText="1"/>
    </xf>
    <xf numFmtId="9" fontId="14" fillId="13" borderId="21" xfId="2" applyFont="1" applyFill="1" applyBorder="1" applyAlignment="1">
      <alignment horizontal="center" vertical="center"/>
    </xf>
    <xf numFmtId="164" fontId="19" fillId="13" borderId="21" xfId="2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5" fillId="0" borderId="0" xfId="0" applyFont="1"/>
    <xf numFmtId="3" fontId="2" fillId="0" borderId="0" xfId="0" applyNumberFormat="1" applyFont="1"/>
    <xf numFmtId="1" fontId="23" fillId="5" borderId="55" xfId="0" applyNumberFormat="1" applyFont="1" applyFill="1" applyBorder="1" applyAlignment="1">
      <alignment horizontal="center" vertical="center" wrapText="1"/>
    </xf>
    <xf numFmtId="0" fontId="23" fillId="5" borderId="55" xfId="0" applyFont="1" applyFill="1" applyBorder="1" applyAlignment="1">
      <alignment horizontal="center" vertical="center" wrapText="1"/>
    </xf>
    <xf numFmtId="0" fontId="22" fillId="5" borderId="56" xfId="0" applyFont="1" applyFill="1" applyBorder="1" applyAlignment="1">
      <alignment horizontal="center" vertical="center" wrapText="1"/>
    </xf>
    <xf numFmtId="1" fontId="23" fillId="5" borderId="58" xfId="0" applyNumberFormat="1" applyFont="1" applyFill="1" applyBorder="1" applyAlignment="1">
      <alignment horizontal="center" vertical="center" wrapText="1"/>
    </xf>
    <xf numFmtId="0" fontId="23" fillId="5" borderId="58" xfId="0" applyFont="1" applyFill="1" applyBorder="1" applyAlignment="1">
      <alignment horizontal="center" vertical="center" wrapText="1"/>
    </xf>
    <xf numFmtId="0" fontId="22" fillId="5" borderId="59" xfId="0" applyFont="1" applyFill="1" applyBorder="1" applyAlignment="1">
      <alignment horizontal="center" vertical="center" wrapText="1"/>
    </xf>
    <xf numFmtId="3" fontId="23" fillId="20" borderId="58" xfId="0" applyNumberFormat="1" applyFont="1" applyFill="1" applyBorder="1" applyAlignment="1">
      <alignment horizontal="center" vertical="center"/>
    </xf>
    <xf numFmtId="1" fontId="23" fillId="20" borderId="58" xfId="0" applyNumberFormat="1" applyFont="1" applyFill="1" applyBorder="1" applyAlignment="1">
      <alignment horizontal="center" vertical="center"/>
    </xf>
    <xf numFmtId="9" fontId="15" fillId="0" borderId="59" xfId="2" applyFont="1" applyBorder="1"/>
    <xf numFmtId="0" fontId="22" fillId="21" borderId="62" xfId="0" applyFont="1" applyFill="1" applyBorder="1" applyAlignment="1">
      <alignment horizontal="center" vertical="center" wrapText="1"/>
    </xf>
    <xf numFmtId="3" fontId="22" fillId="21" borderId="63" xfId="0" applyNumberFormat="1" applyFont="1" applyFill="1" applyBorder="1" applyAlignment="1">
      <alignment horizontal="center" vertical="center" wrapText="1"/>
    </xf>
    <xf numFmtId="10" fontId="22" fillId="21" borderId="63" xfId="2" applyNumberFormat="1" applyFont="1" applyFill="1" applyBorder="1" applyAlignment="1">
      <alignment horizontal="center" vertical="center" wrapText="1"/>
    </xf>
    <xf numFmtId="0" fontId="15" fillId="0" borderId="64" xfId="0" applyFont="1" applyBorder="1"/>
    <xf numFmtId="0" fontId="22" fillId="12" borderId="54" xfId="0" applyFont="1" applyFill="1" applyBorder="1" applyAlignment="1">
      <alignment horizontal="left" vertical="center" wrapText="1"/>
    </xf>
    <xf numFmtId="0" fontId="22" fillId="12" borderId="57" xfId="0" applyFont="1" applyFill="1" applyBorder="1" applyAlignment="1">
      <alignment horizontal="left" vertical="center" wrapText="1"/>
    </xf>
    <xf numFmtId="0" fontId="16" fillId="12" borderId="60" xfId="0" applyFont="1" applyFill="1" applyBorder="1" applyAlignment="1">
      <alignment horizontal="left" vertical="center"/>
    </xf>
    <xf numFmtId="0" fontId="16" fillId="12" borderId="61" xfId="0" applyFont="1" applyFill="1" applyBorder="1" applyAlignment="1">
      <alignment horizontal="left" vertical="center"/>
    </xf>
    <xf numFmtId="10" fontId="22" fillId="11" borderId="55" xfId="0" applyNumberFormat="1" applyFont="1" applyFill="1" applyBorder="1" applyAlignment="1">
      <alignment horizontal="center" vertical="center"/>
    </xf>
    <xf numFmtId="10" fontId="22" fillId="11" borderId="58" xfId="0" applyNumberFormat="1" applyFont="1" applyFill="1" applyBorder="1" applyAlignment="1">
      <alignment horizontal="center" vertical="center"/>
    </xf>
    <xf numFmtId="0" fontId="16" fillId="22" borderId="28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5" borderId="21" xfId="0" applyFont="1" applyFill="1" applyBorder="1" applyAlignment="1">
      <alignment horizontal="center" vertical="center" wrapText="1"/>
    </xf>
    <xf numFmtId="168" fontId="15" fillId="5" borderId="9" xfId="2" applyNumberFormat="1" applyFont="1" applyFill="1" applyBorder="1" applyAlignment="1">
      <alignment horizontal="center" vertical="center"/>
    </xf>
    <xf numFmtId="0" fontId="15" fillId="5" borderId="9" xfId="0" applyFont="1" applyFill="1" applyBorder="1" applyAlignment="1">
      <alignment horizontal="center" vertical="center" wrapText="1"/>
    </xf>
    <xf numFmtId="0" fontId="16" fillId="8" borderId="20" xfId="0" applyFont="1" applyFill="1" applyBorder="1" applyAlignment="1">
      <alignment horizontal="center" vertical="center" wrapText="1"/>
    </xf>
    <xf numFmtId="0" fontId="16" fillId="12" borderId="36" xfId="0" applyFont="1" applyFill="1" applyBorder="1" applyAlignment="1">
      <alignment horizontal="center" vertical="center"/>
    </xf>
    <xf numFmtId="0" fontId="16" fillId="12" borderId="37" xfId="0" applyFont="1" applyFill="1" applyBorder="1" applyAlignment="1">
      <alignment horizontal="center" vertical="center"/>
    </xf>
    <xf numFmtId="1" fontId="16" fillId="24" borderId="74" xfId="0" applyNumberFormat="1" applyFont="1" applyFill="1" applyBorder="1" applyAlignment="1">
      <alignment horizontal="left" vertical="center"/>
    </xf>
    <xf numFmtId="10" fontId="16" fillId="23" borderId="9" xfId="2" applyNumberFormat="1" applyFont="1" applyFill="1" applyBorder="1" applyAlignment="1">
      <alignment horizontal="center" vertical="center"/>
    </xf>
    <xf numFmtId="0" fontId="16" fillId="24" borderId="10" xfId="0" applyFont="1" applyFill="1" applyBorder="1" applyAlignment="1">
      <alignment horizontal="left" vertical="center"/>
    </xf>
    <xf numFmtId="1" fontId="16" fillId="24" borderId="75" xfId="0" applyNumberFormat="1" applyFont="1" applyFill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24" fillId="0" borderId="0" xfId="0" applyFont="1"/>
    <xf numFmtId="0" fontId="16" fillId="12" borderId="12" xfId="0" applyFont="1" applyFill="1" applyBorder="1" applyAlignment="1">
      <alignment horizontal="center" vertical="center" textRotation="90" wrapText="1"/>
    </xf>
    <xf numFmtId="0" fontId="16" fillId="12" borderId="36" xfId="0" applyFont="1" applyFill="1" applyBorder="1" applyAlignment="1">
      <alignment horizontal="center" vertical="center" textRotation="90" wrapText="1"/>
    </xf>
    <xf numFmtId="0" fontId="16" fillId="12" borderId="37" xfId="0" applyFont="1" applyFill="1" applyBorder="1" applyAlignment="1">
      <alignment horizontal="center" vertical="center" textRotation="90" wrapText="1"/>
    </xf>
    <xf numFmtId="0" fontId="16" fillId="23" borderId="9" xfId="0" applyFont="1" applyFill="1" applyBorder="1" applyAlignment="1">
      <alignment horizontal="center" vertical="center"/>
    </xf>
    <xf numFmtId="167" fontId="16" fillId="25" borderId="36" xfId="1" applyNumberFormat="1" applyFont="1" applyFill="1" applyBorder="1" applyAlignment="1">
      <alignment horizontal="center" vertical="center"/>
    </xf>
    <xf numFmtId="10" fontId="16" fillId="25" borderId="37" xfId="2" applyNumberFormat="1" applyFont="1" applyFill="1" applyBorder="1" applyAlignment="1">
      <alignment horizontal="center" vertical="center"/>
    </xf>
    <xf numFmtId="0" fontId="16" fillId="24" borderId="77" xfId="0" applyFont="1" applyFill="1" applyBorder="1" applyAlignment="1">
      <alignment horizontal="left" vertical="center"/>
    </xf>
    <xf numFmtId="0" fontId="16" fillId="23" borderId="20" xfId="0" applyFont="1" applyFill="1" applyBorder="1" applyAlignment="1">
      <alignment horizontal="center" vertical="center"/>
    </xf>
    <xf numFmtId="10" fontId="16" fillId="23" borderId="20" xfId="2" applyNumberFormat="1" applyFont="1" applyFill="1" applyBorder="1" applyAlignment="1">
      <alignment horizontal="center" vertical="center"/>
    </xf>
    <xf numFmtId="0" fontId="16" fillId="25" borderId="35" xfId="0" applyFont="1" applyFill="1" applyBorder="1" applyAlignment="1">
      <alignment horizontal="center" vertical="center" wrapText="1"/>
    </xf>
    <xf numFmtId="0" fontId="16" fillId="12" borderId="11" xfId="0" applyFont="1" applyFill="1" applyBorder="1" applyAlignment="1">
      <alignment horizontal="center" vertical="center" textRotation="90" wrapText="1"/>
    </xf>
    <xf numFmtId="0" fontId="16" fillId="12" borderId="17" xfId="0" applyFont="1" applyFill="1" applyBorder="1" applyAlignment="1">
      <alignment horizontal="center" vertical="center" textRotation="90" wrapText="1"/>
    </xf>
    <xf numFmtId="0" fontId="16" fillId="12" borderId="3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9" borderId="35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16" fillId="5" borderId="78" xfId="0" applyFont="1" applyFill="1" applyBorder="1" applyAlignment="1">
      <alignment horizontal="center" vertical="center" wrapText="1"/>
    </xf>
    <xf numFmtId="168" fontId="15" fillId="5" borderId="26" xfId="2" applyNumberFormat="1" applyFont="1" applyFill="1" applyBorder="1" applyAlignment="1">
      <alignment horizontal="center" vertical="center"/>
    </xf>
    <xf numFmtId="0" fontId="16" fillId="5" borderId="80" xfId="0" applyFont="1" applyFill="1" applyBorder="1" applyAlignment="1">
      <alignment horizontal="center" vertical="center" wrapText="1"/>
    </xf>
    <xf numFmtId="1" fontId="15" fillId="5" borderId="9" xfId="0" applyNumberFormat="1" applyFont="1" applyFill="1" applyBorder="1" applyAlignment="1">
      <alignment horizontal="center" vertical="center" wrapText="1"/>
    </xf>
    <xf numFmtId="1" fontId="15" fillId="5" borderId="25" xfId="0" applyNumberFormat="1" applyFont="1" applyFill="1" applyBorder="1" applyAlignment="1">
      <alignment horizontal="center" vertical="center" wrapText="1"/>
    </xf>
    <xf numFmtId="0" fontId="22" fillId="5" borderId="79" xfId="0" applyFont="1" applyFill="1" applyBorder="1" applyAlignment="1">
      <alignment horizontal="left" vertical="center" wrapText="1"/>
    </xf>
    <xf numFmtId="0" fontId="16" fillId="5" borderId="81" xfId="0" applyFont="1" applyFill="1" applyBorder="1" applyAlignment="1">
      <alignment horizontal="left" vertical="center"/>
    </xf>
    <xf numFmtId="0" fontId="16" fillId="5" borderId="14" xfId="0" applyFont="1" applyFill="1" applyBorder="1" applyAlignment="1">
      <alignment horizontal="left" vertical="center"/>
    </xf>
    <xf numFmtId="1" fontId="15" fillId="5" borderId="65" xfId="0" applyNumberFormat="1" applyFont="1" applyFill="1" applyBorder="1" applyAlignment="1">
      <alignment horizontal="center" vertical="center" wrapText="1"/>
    </xf>
    <xf numFmtId="1" fontId="15" fillId="5" borderId="20" xfId="0" applyNumberFormat="1" applyFont="1" applyFill="1" applyBorder="1" applyAlignment="1">
      <alignment horizontal="center" vertical="center" wrapText="1"/>
    </xf>
    <xf numFmtId="0" fontId="15" fillId="5" borderId="20" xfId="0" applyFont="1" applyFill="1" applyBorder="1" applyAlignment="1">
      <alignment horizontal="center" vertical="center" wrapText="1"/>
    </xf>
    <xf numFmtId="168" fontId="15" fillId="5" borderId="20" xfId="2" applyNumberFormat="1" applyFont="1" applyFill="1" applyBorder="1" applyAlignment="1">
      <alignment horizontal="center" vertical="center"/>
    </xf>
    <xf numFmtId="168" fontId="15" fillId="5" borderId="45" xfId="2" applyNumberFormat="1" applyFont="1" applyFill="1" applyBorder="1" applyAlignment="1">
      <alignment horizontal="center" vertical="center"/>
    </xf>
    <xf numFmtId="0" fontId="5" fillId="5" borderId="83" xfId="0" applyFont="1" applyFill="1" applyBorder="1" applyAlignment="1">
      <alignment horizontal="center" vertical="center"/>
    </xf>
    <xf numFmtId="0" fontId="11" fillId="26" borderId="3" xfId="0" applyFont="1" applyFill="1" applyBorder="1" applyAlignment="1">
      <alignment horizontal="left" vertical="center" wrapText="1"/>
    </xf>
    <xf numFmtId="1" fontId="13" fillId="26" borderId="84" xfId="0" applyNumberFormat="1" applyFont="1" applyFill="1" applyBorder="1" applyAlignment="1">
      <alignment horizontal="center" vertical="center" wrapText="1"/>
    </xf>
    <xf numFmtId="168" fontId="15" fillId="26" borderId="36" xfId="2" applyNumberFormat="1" applyFont="1" applyFill="1" applyBorder="1" applyAlignment="1">
      <alignment horizontal="center" vertical="center"/>
    </xf>
    <xf numFmtId="168" fontId="15" fillId="26" borderId="37" xfId="2" applyNumberFormat="1" applyFont="1" applyFill="1" applyBorder="1" applyAlignment="1">
      <alignment horizontal="center" vertical="center"/>
    </xf>
    <xf numFmtId="0" fontId="5" fillId="26" borderId="17" xfId="0" applyFont="1" applyFill="1" applyBorder="1" applyAlignment="1">
      <alignment horizontal="center" vertical="center"/>
    </xf>
    <xf numFmtId="0" fontId="12" fillId="19" borderId="5" xfId="0" applyFont="1" applyFill="1" applyBorder="1" applyAlignment="1">
      <alignment horizontal="center" vertical="center" wrapText="1"/>
    </xf>
    <xf numFmtId="1" fontId="22" fillId="5" borderId="85" xfId="0" applyNumberFormat="1" applyFont="1" applyFill="1" applyBorder="1" applyAlignment="1">
      <alignment horizontal="left" vertical="center" wrapText="1"/>
    </xf>
    <xf numFmtId="1" fontId="15" fillId="5" borderId="32" xfId="0" applyNumberFormat="1" applyFont="1" applyFill="1" applyBorder="1" applyAlignment="1">
      <alignment horizontal="center" vertical="center" wrapText="1"/>
    </xf>
    <xf numFmtId="168" fontId="15" fillId="5" borderId="21" xfId="2" applyNumberFormat="1" applyFont="1" applyFill="1" applyBorder="1" applyAlignment="1">
      <alignment horizontal="center" vertical="center"/>
    </xf>
    <xf numFmtId="168" fontId="15" fillId="5" borderId="33" xfId="2" applyNumberFormat="1" applyFont="1" applyFill="1" applyBorder="1" applyAlignment="1">
      <alignment horizontal="center" vertical="center"/>
    </xf>
    <xf numFmtId="0" fontId="13" fillId="9" borderId="36" xfId="0" applyFont="1" applyFill="1" applyBorder="1" applyAlignment="1">
      <alignment horizontal="center" vertical="center" wrapText="1"/>
    </xf>
    <xf numFmtId="0" fontId="13" fillId="9" borderId="37" xfId="0" applyFont="1" applyFill="1" applyBorder="1" applyAlignment="1">
      <alignment horizontal="center" vertical="center" wrapText="1"/>
    </xf>
    <xf numFmtId="167" fontId="15" fillId="10" borderId="34" xfId="1" applyNumberFormat="1" applyFont="1" applyFill="1" applyBorder="1" applyAlignment="1">
      <alignment horizontal="center" vertical="center"/>
    </xf>
    <xf numFmtId="167" fontId="15" fillId="10" borderId="21" xfId="1" applyNumberFormat="1" applyFont="1" applyFill="1" applyBorder="1" applyAlignment="1">
      <alignment horizontal="center" vertical="center"/>
    </xf>
    <xf numFmtId="167" fontId="15" fillId="10" borderId="9" xfId="1" applyNumberFormat="1" applyFont="1" applyFill="1" applyBorder="1" applyAlignment="1">
      <alignment horizontal="center" vertical="center"/>
    </xf>
    <xf numFmtId="167" fontId="15" fillId="10" borderId="19" xfId="1" applyNumberFormat="1" applyFont="1" applyFill="1" applyBorder="1" applyAlignment="1">
      <alignment horizontal="center" vertical="center"/>
    </xf>
    <xf numFmtId="167" fontId="15" fillId="10" borderId="46" xfId="1" applyNumberFormat="1" applyFont="1" applyFill="1" applyBorder="1" applyAlignment="1">
      <alignment horizontal="center" vertical="center"/>
    </xf>
    <xf numFmtId="167" fontId="15" fillId="10" borderId="20" xfId="1" applyNumberFormat="1" applyFont="1" applyFill="1" applyBorder="1" applyAlignment="1">
      <alignment horizontal="center" vertical="center"/>
    </xf>
    <xf numFmtId="0" fontId="21" fillId="11" borderId="50" xfId="0" applyFont="1" applyFill="1" applyBorder="1" applyAlignment="1">
      <alignment horizontal="center" vertical="center" textRotation="90" wrapText="1"/>
    </xf>
    <xf numFmtId="0" fontId="16" fillId="28" borderId="2" xfId="0" applyFont="1" applyFill="1" applyBorder="1" applyAlignment="1">
      <alignment horizontal="left" vertical="center" wrapText="1"/>
    </xf>
    <xf numFmtId="0" fontId="16" fillId="28" borderId="6" xfId="1" applyNumberFormat="1" applyFont="1" applyFill="1" applyBorder="1" applyAlignment="1">
      <alignment horizontal="center" vertical="center"/>
    </xf>
    <xf numFmtId="1" fontId="16" fillId="28" borderId="49" xfId="1" applyNumberFormat="1" applyFont="1" applyFill="1" applyBorder="1" applyAlignment="1">
      <alignment horizontal="center" vertical="center"/>
    </xf>
    <xf numFmtId="0" fontId="16" fillId="28" borderId="8" xfId="1" applyNumberFormat="1" applyFont="1" applyFill="1" applyBorder="1" applyAlignment="1">
      <alignment horizontal="center" vertical="center"/>
    </xf>
    <xf numFmtId="9" fontId="16" fillId="28" borderId="6" xfId="0" applyNumberFormat="1" applyFont="1" applyFill="1" applyBorder="1" applyAlignment="1">
      <alignment vertical="center"/>
    </xf>
    <xf numFmtId="9" fontId="16" fillId="28" borderId="44" xfId="0" applyNumberFormat="1" applyFont="1" applyFill="1" applyBorder="1" applyAlignment="1">
      <alignment horizontal="center" vertical="center"/>
    </xf>
    <xf numFmtId="0" fontId="16" fillId="1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6" fillId="12" borderId="74" xfId="0" applyFont="1" applyFill="1" applyBorder="1" applyAlignment="1">
      <alignment horizontal="left" vertical="center" wrapText="1"/>
    </xf>
    <xf numFmtId="1" fontId="2" fillId="5" borderId="30" xfId="0" applyNumberFormat="1" applyFont="1" applyFill="1" applyBorder="1" applyAlignment="1">
      <alignment horizontal="center" vertical="center" wrapText="1"/>
    </xf>
    <xf numFmtId="0" fontId="2" fillId="5" borderId="23" xfId="0" applyFont="1" applyFill="1" applyBorder="1" applyAlignment="1">
      <alignment horizontal="center" vertical="center" wrapText="1"/>
    </xf>
    <xf numFmtId="9" fontId="2" fillId="5" borderId="23" xfId="2" applyFont="1" applyFill="1" applyBorder="1" applyAlignment="1" applyProtection="1">
      <alignment horizontal="center" vertical="center"/>
    </xf>
    <xf numFmtId="168" fontId="2" fillId="5" borderId="23" xfId="2" applyNumberFormat="1" applyFont="1" applyFill="1" applyBorder="1" applyAlignment="1" applyProtection="1">
      <alignment horizontal="center" vertical="center"/>
    </xf>
    <xf numFmtId="0" fontId="2" fillId="5" borderId="24" xfId="0" applyFont="1" applyFill="1" applyBorder="1" applyAlignment="1">
      <alignment horizontal="center" vertical="center" wrapText="1"/>
    </xf>
    <xf numFmtId="0" fontId="22" fillId="12" borderId="10" xfId="0" applyFont="1" applyFill="1" applyBorder="1" applyAlignment="1">
      <alignment horizontal="left" vertical="center" wrapText="1"/>
    </xf>
    <xf numFmtId="1" fontId="2" fillId="5" borderId="19" xfId="0" applyNumberFormat="1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9" fontId="2" fillId="5" borderId="9" xfId="2" applyFont="1" applyFill="1" applyBorder="1" applyAlignment="1" applyProtection="1">
      <alignment horizontal="center" vertical="center"/>
    </xf>
    <xf numFmtId="168" fontId="2" fillId="5" borderId="9" xfId="2" applyNumberFormat="1" applyFont="1" applyFill="1" applyBorder="1" applyAlignment="1" applyProtection="1">
      <alignment horizontal="center" vertical="center"/>
    </xf>
    <xf numFmtId="0" fontId="2" fillId="5" borderId="26" xfId="0" applyFont="1" applyFill="1" applyBorder="1" applyAlignment="1">
      <alignment horizontal="center" vertical="center" wrapText="1"/>
    </xf>
    <xf numFmtId="0" fontId="16" fillId="12" borderId="10" xfId="0" applyFont="1" applyFill="1" applyBorder="1" applyAlignment="1">
      <alignment horizontal="left" vertical="center" wrapText="1"/>
    </xf>
    <xf numFmtId="0" fontId="16" fillId="12" borderId="76" xfId="0" applyFont="1" applyFill="1" applyBorder="1" applyAlignment="1">
      <alignment horizontal="left" vertical="center"/>
    </xf>
    <xf numFmtId="1" fontId="2" fillId="0" borderId="31" xfId="0" applyNumberFormat="1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9" fontId="2" fillId="0" borderId="28" xfId="2" applyFont="1" applyFill="1" applyBorder="1" applyAlignment="1" applyProtection="1">
      <alignment horizontal="center" vertical="center"/>
    </xf>
    <xf numFmtId="168" fontId="2" fillId="0" borderId="28" xfId="2" applyNumberFormat="1" applyFont="1" applyFill="1" applyBorder="1" applyAlignment="1" applyProtection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13" fillId="17" borderId="73" xfId="0" applyFont="1" applyFill="1" applyBorder="1" applyAlignment="1">
      <alignment horizontal="left" vertical="center" wrapText="1"/>
    </xf>
    <xf numFmtId="0" fontId="13" fillId="17" borderId="11" xfId="1" applyNumberFormat="1" applyFont="1" applyFill="1" applyBorder="1" applyAlignment="1" applyProtection="1">
      <alignment horizontal="center" vertical="center"/>
    </xf>
    <xf numFmtId="0" fontId="13" fillId="17" borderId="12" xfId="1" applyNumberFormat="1" applyFont="1" applyFill="1" applyBorder="1" applyAlignment="1" applyProtection="1">
      <alignment horizontal="center" vertical="center"/>
    </xf>
    <xf numFmtId="9" fontId="13" fillId="17" borderId="12" xfId="0" applyNumberFormat="1" applyFont="1" applyFill="1" applyBorder="1" applyAlignment="1">
      <alignment horizontal="center" vertical="center"/>
    </xf>
    <xf numFmtId="168" fontId="13" fillId="17" borderId="12" xfId="0" applyNumberFormat="1" applyFont="1" applyFill="1" applyBorder="1" applyAlignment="1">
      <alignment horizontal="center" vertical="center"/>
    </xf>
    <xf numFmtId="0" fontId="13" fillId="17" borderId="13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left" vertical="center" wrapText="1"/>
    </xf>
    <xf numFmtId="0" fontId="4" fillId="5" borderId="0" xfId="1" applyNumberFormat="1" applyFont="1" applyFill="1" applyBorder="1" applyAlignment="1" applyProtection="1">
      <alignment horizontal="center" vertical="center"/>
    </xf>
    <xf numFmtId="167" fontId="4" fillId="5" borderId="0" xfId="1" applyNumberFormat="1" applyFont="1" applyFill="1" applyBorder="1" applyAlignment="1" applyProtection="1">
      <alignment horizontal="center" vertical="center"/>
    </xf>
    <xf numFmtId="9" fontId="4" fillId="5" borderId="0" xfId="0" applyNumberFormat="1" applyFont="1" applyFill="1" applyAlignment="1">
      <alignment vertical="center"/>
    </xf>
    <xf numFmtId="168" fontId="4" fillId="5" borderId="0" xfId="0" applyNumberFormat="1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16" fillId="10" borderId="17" xfId="0" applyFont="1" applyFill="1" applyBorder="1" applyAlignment="1">
      <alignment horizontal="center" vertical="center" wrapText="1"/>
    </xf>
    <xf numFmtId="168" fontId="4" fillId="10" borderId="17" xfId="2" applyNumberFormat="1" applyFont="1" applyFill="1" applyBorder="1" applyAlignment="1" applyProtection="1">
      <alignment horizontal="center" vertical="center" wrapText="1"/>
    </xf>
    <xf numFmtId="169" fontId="2" fillId="0" borderId="0" xfId="0" applyNumberFormat="1" applyFont="1" applyAlignment="1">
      <alignment horizontal="center" vertical="center"/>
    </xf>
    <xf numFmtId="170" fontId="2" fillId="0" borderId="0" xfId="0" applyNumberFormat="1" applyFont="1" applyAlignment="1">
      <alignment horizontal="center" vertical="center"/>
    </xf>
    <xf numFmtId="43" fontId="2" fillId="0" borderId="0" xfId="1" applyFont="1" applyAlignment="1" applyProtection="1">
      <alignment horizontal="center" vertical="center"/>
    </xf>
    <xf numFmtId="167" fontId="2" fillId="0" borderId="0" xfId="1" applyNumberFormat="1" applyFont="1" applyAlignment="1" applyProtection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0" fontId="14" fillId="16" borderId="14" xfId="0" applyFont="1" applyFill="1" applyBorder="1" applyAlignment="1">
      <alignment vertical="center"/>
    </xf>
    <xf numFmtId="0" fontId="14" fillId="16" borderId="0" xfId="0" applyFont="1" applyFill="1" applyAlignment="1">
      <alignment vertical="center"/>
    </xf>
    <xf numFmtId="171" fontId="14" fillId="19" borderId="14" xfId="0" applyNumberFormat="1" applyFont="1" applyFill="1" applyBorder="1" applyAlignment="1">
      <alignment horizontal="center" vertical="center"/>
    </xf>
    <xf numFmtId="171" fontId="15" fillId="5" borderId="0" xfId="0" applyNumberFormat="1" applyFont="1" applyFill="1" applyAlignment="1">
      <alignment horizontal="center" vertical="center"/>
    </xf>
    <xf numFmtId="0" fontId="14" fillId="16" borderId="81" xfId="0" applyFont="1" applyFill="1" applyBorder="1" applyAlignment="1">
      <alignment vertical="center"/>
    </xf>
    <xf numFmtId="0" fontId="14" fillId="16" borderId="39" xfId="0" applyFont="1" applyFill="1" applyBorder="1" applyAlignment="1">
      <alignment vertical="center"/>
    </xf>
    <xf numFmtId="166" fontId="16" fillId="0" borderId="97" xfId="0" applyNumberFormat="1" applyFont="1" applyBorder="1" applyAlignment="1">
      <alignment horizontal="center" vertical="center"/>
    </xf>
    <xf numFmtId="165" fontId="16" fillId="0" borderId="96" xfId="0" applyNumberFormat="1" applyFont="1" applyBorder="1" applyAlignment="1">
      <alignment horizontal="center" vertical="center"/>
    </xf>
    <xf numFmtId="1" fontId="16" fillId="0" borderId="23" xfId="0" applyNumberFormat="1" applyFont="1" applyBorder="1" applyAlignment="1" applyProtection="1">
      <alignment horizontal="center" vertical="center"/>
      <protection locked="0"/>
    </xf>
    <xf numFmtId="164" fontId="15" fillId="0" borderId="23" xfId="0" applyNumberFormat="1" applyFont="1" applyBorder="1" applyAlignment="1" applyProtection="1">
      <alignment horizontal="center" vertical="center"/>
      <protection locked="0"/>
    </xf>
    <xf numFmtId="1" fontId="15" fillId="15" borderId="23" xfId="0" applyNumberFormat="1" applyFont="1" applyFill="1" applyBorder="1" applyAlignment="1" applyProtection="1">
      <alignment horizontal="center" vertical="center"/>
      <protection locked="0"/>
    </xf>
    <xf numFmtId="0" fontId="15" fillId="0" borderId="23" xfId="0" applyFont="1" applyBorder="1" applyAlignment="1" applyProtection="1">
      <alignment horizontal="center" vertical="center"/>
      <protection locked="0"/>
    </xf>
    <xf numFmtId="0" fontId="16" fillId="12" borderId="23" xfId="0" applyFont="1" applyFill="1" applyBorder="1" applyAlignment="1" applyProtection="1">
      <alignment horizontal="center" vertical="center"/>
      <protection locked="0"/>
    </xf>
    <xf numFmtId="0" fontId="16" fillId="0" borderId="24" xfId="0" applyFont="1" applyBorder="1" applyAlignment="1" applyProtection="1">
      <alignment horizontal="left" vertical="top" wrapText="1"/>
      <protection locked="0"/>
    </xf>
    <xf numFmtId="1" fontId="16" fillId="0" borderId="9" xfId="0" applyNumberFormat="1" applyFont="1" applyBorder="1" applyAlignment="1" applyProtection="1">
      <alignment horizontal="center" vertical="center"/>
      <protection locked="0"/>
    </xf>
    <xf numFmtId="164" fontId="15" fillId="0" borderId="9" xfId="0" applyNumberFormat="1" applyFont="1" applyBorder="1" applyAlignment="1" applyProtection="1">
      <alignment horizontal="center" vertical="center"/>
      <protection locked="0"/>
    </xf>
    <xf numFmtId="1" fontId="15" fillId="15" borderId="9" xfId="0" applyNumberFormat="1" applyFont="1" applyFill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6" fillId="12" borderId="9" xfId="0" applyFont="1" applyFill="1" applyBorder="1" applyAlignment="1" applyProtection="1">
      <alignment horizontal="center" vertical="center"/>
      <protection locked="0"/>
    </xf>
    <xf numFmtId="0" fontId="16" fillId="0" borderId="26" xfId="0" applyFont="1" applyBorder="1" applyAlignment="1" applyProtection="1">
      <alignment horizontal="left" vertical="top" wrapText="1"/>
      <protection locked="0"/>
    </xf>
    <xf numFmtId="1" fontId="16" fillId="0" borderId="28" xfId="0" applyNumberFormat="1" applyFont="1" applyBorder="1" applyAlignment="1" applyProtection="1">
      <alignment horizontal="center" vertical="center"/>
      <protection locked="0"/>
    </xf>
    <xf numFmtId="164" fontId="15" fillId="0" borderId="28" xfId="0" applyNumberFormat="1" applyFont="1" applyBorder="1" applyAlignment="1" applyProtection="1">
      <alignment horizontal="center" vertical="center"/>
      <protection locked="0"/>
    </xf>
    <xf numFmtId="1" fontId="15" fillId="15" borderId="28" xfId="0" applyNumberFormat="1" applyFont="1" applyFill="1" applyBorder="1" applyAlignment="1" applyProtection="1">
      <alignment horizontal="center" vertical="center"/>
      <protection locked="0"/>
    </xf>
    <xf numFmtId="0" fontId="15" fillId="0" borderId="28" xfId="0" applyFont="1" applyBorder="1" applyAlignment="1" applyProtection="1">
      <alignment horizontal="center" vertical="center"/>
      <protection locked="0"/>
    </xf>
    <xf numFmtId="0" fontId="16" fillId="12" borderId="28" xfId="0" applyFont="1" applyFill="1" applyBorder="1" applyAlignment="1" applyProtection="1">
      <alignment horizontal="center" vertical="center"/>
      <protection locked="0"/>
    </xf>
    <xf numFmtId="0" fontId="16" fillId="0" borderId="29" xfId="0" applyFont="1" applyBorder="1" applyAlignment="1" applyProtection="1">
      <alignment horizontal="left" vertical="top" wrapText="1"/>
      <protection locked="0"/>
    </xf>
    <xf numFmtId="0" fontId="15" fillId="0" borderId="15" xfId="0" applyFont="1" applyBorder="1" applyAlignment="1">
      <alignment horizontal="center" vertical="center"/>
    </xf>
    <xf numFmtId="0" fontId="16" fillId="0" borderId="9" xfId="0" applyFont="1" applyBorder="1" applyAlignment="1" applyProtection="1">
      <alignment horizontal="center" vertical="top" wrapText="1"/>
      <protection locked="0"/>
    </xf>
    <xf numFmtId="0" fontId="16" fillId="12" borderId="30" xfId="0" applyFont="1" applyFill="1" applyBorder="1" applyAlignment="1" applyProtection="1">
      <alignment horizontal="center" vertical="center"/>
      <protection locked="0"/>
    </xf>
    <xf numFmtId="0" fontId="16" fillId="0" borderId="24" xfId="0" applyFont="1" applyBorder="1" applyAlignment="1" applyProtection="1">
      <alignment horizontal="center" vertical="top" wrapText="1"/>
      <protection locked="0"/>
    </xf>
    <xf numFmtId="0" fontId="16" fillId="12" borderId="12" xfId="0" applyFont="1" applyFill="1" applyBorder="1" applyAlignment="1" applyProtection="1">
      <alignment horizontal="center" vertical="center"/>
      <protection locked="0"/>
    </xf>
    <xf numFmtId="164" fontId="15" fillId="0" borderId="15" xfId="0" applyNumberFormat="1" applyFont="1" applyBorder="1" applyAlignment="1" applyProtection="1">
      <alignment horizontal="center" vertical="center"/>
      <protection locked="0"/>
    </xf>
    <xf numFmtId="0" fontId="16" fillId="12" borderId="47" xfId="0" applyFont="1" applyFill="1" applyBorder="1" applyAlignment="1" applyProtection="1">
      <alignment horizontal="center" vertical="center"/>
      <protection locked="0"/>
    </xf>
    <xf numFmtId="0" fontId="16" fillId="12" borderId="15" xfId="0" applyFont="1" applyFill="1" applyBorder="1" applyAlignment="1" applyProtection="1">
      <alignment horizontal="center" vertical="center"/>
      <protection locked="0"/>
    </xf>
    <xf numFmtId="0" fontId="16" fillId="0" borderId="97" xfId="0" applyFont="1" applyBorder="1" applyAlignment="1" applyProtection="1">
      <alignment horizontal="center" vertical="top" wrapText="1"/>
      <protection locked="0"/>
    </xf>
    <xf numFmtId="1" fontId="15" fillId="18" borderId="23" xfId="0" applyNumberFormat="1" applyFont="1" applyFill="1" applyBorder="1" applyAlignment="1" applyProtection="1">
      <alignment horizontal="center" vertical="center"/>
      <protection locked="0"/>
    </xf>
    <xf numFmtId="1" fontId="15" fillId="18" borderId="9" xfId="0" applyNumberFormat="1" applyFont="1" applyFill="1" applyBorder="1" applyAlignment="1" applyProtection="1">
      <alignment horizontal="center" vertical="center"/>
      <protection locked="0"/>
    </xf>
    <xf numFmtId="0" fontId="16" fillId="0" borderId="26" xfId="0" applyFont="1" applyBorder="1" applyAlignment="1" applyProtection="1">
      <alignment horizontal="center" vertical="top" wrapText="1"/>
      <protection locked="0"/>
    </xf>
    <xf numFmtId="0" fontId="16" fillId="12" borderId="34" xfId="0" applyFont="1" applyFill="1" applyBorder="1" applyAlignment="1" applyProtection="1">
      <alignment horizontal="center" vertical="center"/>
      <protection locked="0"/>
    </xf>
    <xf numFmtId="0" fontId="16" fillId="12" borderId="20" xfId="0" applyFont="1" applyFill="1" applyBorder="1" applyAlignment="1" applyProtection="1">
      <alignment horizontal="center" vertical="center"/>
      <protection locked="0"/>
    </xf>
    <xf numFmtId="0" fontId="16" fillId="0" borderId="45" xfId="0" applyFont="1" applyBorder="1" applyAlignment="1" applyProtection="1">
      <alignment horizontal="center" vertical="top" wrapText="1"/>
      <protection locked="0"/>
    </xf>
    <xf numFmtId="1" fontId="15" fillId="18" borderId="28" xfId="0" applyNumberFormat="1" applyFont="1" applyFill="1" applyBorder="1" applyAlignment="1" applyProtection="1">
      <alignment horizontal="center" vertical="center"/>
      <protection locked="0"/>
    </xf>
    <xf numFmtId="0" fontId="16" fillId="0" borderId="29" xfId="0" applyFont="1" applyBorder="1" applyAlignment="1" applyProtection="1">
      <alignment horizontal="center" vertical="top" wrapText="1"/>
      <protection locked="0"/>
    </xf>
    <xf numFmtId="0" fontId="16" fillId="12" borderId="99" xfId="0" applyFont="1" applyFill="1" applyBorder="1" applyAlignment="1" applyProtection="1">
      <alignment horizontal="center" vertical="center"/>
      <protection locked="0"/>
    </xf>
    <xf numFmtId="0" fontId="16" fillId="12" borderId="19" xfId="0" applyFont="1" applyFill="1" applyBorder="1" applyAlignment="1" applyProtection="1">
      <alignment horizontal="center" vertical="center"/>
      <protection locked="0"/>
    </xf>
    <xf numFmtId="0" fontId="21" fillId="11" borderId="41" xfId="0" applyFont="1" applyFill="1" applyBorder="1" applyAlignment="1">
      <alignment horizontal="center" vertical="center" textRotation="90" wrapText="1"/>
    </xf>
    <xf numFmtId="0" fontId="16" fillId="0" borderId="9" xfId="0" applyFont="1" applyBorder="1" applyAlignment="1">
      <alignment horizontal="left" vertical="top" wrapText="1"/>
    </xf>
    <xf numFmtId="0" fontId="23" fillId="0" borderId="23" xfId="0" applyFont="1" applyBorder="1"/>
    <xf numFmtId="0" fontId="22" fillId="0" borderId="30" xfId="0" applyFont="1" applyBorder="1"/>
    <xf numFmtId="0" fontId="23" fillId="0" borderId="30" xfId="0" applyFont="1" applyBorder="1"/>
    <xf numFmtId="0" fontId="23" fillId="29" borderId="30" xfId="0" applyFont="1" applyFill="1" applyBorder="1"/>
    <xf numFmtId="0" fontId="23" fillId="0" borderId="21" xfId="0" applyFont="1" applyBorder="1"/>
    <xf numFmtId="0" fontId="23" fillId="0" borderId="34" xfId="0" applyFont="1" applyBorder="1"/>
    <xf numFmtId="0" fontId="23" fillId="29" borderId="34" xfId="0" applyFont="1" applyFill="1" applyBorder="1"/>
    <xf numFmtId="0" fontId="22" fillId="0" borderId="34" xfId="0" applyFont="1" applyBorder="1"/>
    <xf numFmtId="0" fontId="23" fillId="0" borderId="15" xfId="0" applyFont="1" applyBorder="1"/>
    <xf numFmtId="0" fontId="22" fillId="0" borderId="47" xfId="0" applyFont="1" applyBorder="1"/>
    <xf numFmtId="0" fontId="23" fillId="0" borderId="47" xfId="0" applyFont="1" applyBorder="1"/>
    <xf numFmtId="0" fontId="23" fillId="29" borderId="47" xfId="0" applyFont="1" applyFill="1" applyBorder="1"/>
    <xf numFmtId="16" fontId="17" fillId="0" borderId="15" xfId="0" applyNumberFormat="1" applyFont="1" applyBorder="1" applyAlignment="1">
      <alignment horizontal="center" vertical="center"/>
    </xf>
    <xf numFmtId="1" fontId="15" fillId="18" borderId="15" xfId="0" applyNumberFormat="1" applyFont="1" applyFill="1" applyBorder="1" applyAlignment="1" applyProtection="1">
      <alignment horizontal="center" vertical="center"/>
      <protection locked="0"/>
    </xf>
    <xf numFmtId="167" fontId="15" fillId="0" borderId="15" xfId="0" applyNumberFormat="1" applyFont="1" applyBorder="1" applyAlignment="1">
      <alignment horizontal="center" vertical="center"/>
    </xf>
    <xf numFmtId="0" fontId="16" fillId="0" borderId="15" xfId="1" applyNumberFormat="1" applyFont="1" applyFill="1" applyBorder="1" applyAlignment="1">
      <alignment horizontal="center" vertical="center"/>
    </xf>
    <xf numFmtId="9" fontId="16" fillId="0" borderId="15" xfId="2" applyFont="1" applyFill="1" applyBorder="1" applyAlignment="1">
      <alignment horizontal="center" vertical="center"/>
    </xf>
    <xf numFmtId="0" fontId="22" fillId="0" borderId="23" xfId="0" applyFont="1" applyBorder="1"/>
    <xf numFmtId="0" fontId="15" fillId="0" borderId="28" xfId="0" applyFont="1" applyBorder="1" applyAlignment="1">
      <alignment horizontal="center"/>
    </xf>
    <xf numFmtId="1" fontId="14" fillId="13" borderId="38" xfId="1" applyNumberFormat="1" applyFont="1" applyFill="1" applyBorder="1" applyAlignment="1">
      <alignment horizontal="center" vertical="center"/>
    </xf>
    <xf numFmtId="1" fontId="14" fillId="13" borderId="9" xfId="1" applyNumberFormat="1" applyFont="1" applyFill="1" applyBorder="1" applyAlignment="1">
      <alignment horizontal="center" vertical="center"/>
    </xf>
    <xf numFmtId="1" fontId="14" fillId="13" borderId="19" xfId="1" applyNumberFormat="1" applyFont="1" applyFill="1" applyBorder="1" applyAlignment="1">
      <alignment horizontal="center" vertical="center"/>
    </xf>
    <xf numFmtId="171" fontId="15" fillId="0" borderId="0" xfId="0" applyNumberFormat="1" applyFont="1" applyAlignment="1">
      <alignment horizontal="center" vertical="center"/>
    </xf>
    <xf numFmtId="1" fontId="22" fillId="0" borderId="23" xfId="0" applyNumberFormat="1" applyFont="1" applyBorder="1" applyAlignment="1" applyProtection="1">
      <alignment horizontal="center" vertical="center"/>
      <protection locked="0"/>
    </xf>
    <xf numFmtId="1" fontId="22" fillId="0" borderId="21" xfId="0" applyNumberFormat="1" applyFont="1" applyBorder="1" applyAlignment="1" applyProtection="1">
      <alignment horizontal="center" vertical="center"/>
      <protection locked="0"/>
    </xf>
    <xf numFmtId="1" fontId="22" fillId="0" borderId="12" xfId="0" applyNumberFormat="1" applyFont="1" applyBorder="1" applyAlignment="1" applyProtection="1">
      <alignment horizontal="center" vertical="center"/>
      <protection locked="0"/>
    </xf>
    <xf numFmtId="164" fontId="19" fillId="13" borderId="9" xfId="2" applyNumberFormat="1" applyFont="1" applyFill="1" applyBorder="1" applyAlignment="1">
      <alignment horizontal="left" vertical="center" wrapText="1"/>
    </xf>
    <xf numFmtId="167" fontId="16" fillId="23" borderId="9" xfId="0" applyNumberFormat="1" applyFont="1" applyFill="1" applyBorder="1" applyAlignment="1">
      <alignment horizontal="center" vertical="center"/>
    </xf>
    <xf numFmtId="1" fontId="14" fillId="13" borderId="34" xfId="1" applyNumberFormat="1" applyFont="1" applyFill="1" applyBorder="1" applyAlignment="1">
      <alignment horizontal="center" vertical="center"/>
    </xf>
    <xf numFmtId="0" fontId="2" fillId="5" borderId="10" xfId="0" applyFont="1" applyFill="1" applyBorder="1" applyAlignment="1" applyProtection="1">
      <alignment horizontal="center" vertical="center" wrapText="1"/>
      <protection locked="0"/>
    </xf>
    <xf numFmtId="0" fontId="16" fillId="5" borderId="9" xfId="0" applyFont="1" applyFill="1" applyBorder="1" applyAlignment="1">
      <alignment horizontal="center" vertical="top" wrapText="1"/>
    </xf>
    <xf numFmtId="1" fontId="15" fillId="0" borderId="0" xfId="0" applyNumberFormat="1" applyFont="1" applyAlignment="1">
      <alignment horizontal="center" vertical="center"/>
    </xf>
    <xf numFmtId="0" fontId="22" fillId="0" borderId="28" xfId="0" applyFont="1" applyBorder="1"/>
    <xf numFmtId="0" fontId="23" fillId="0" borderId="28" xfId="0" applyFont="1" applyBorder="1"/>
    <xf numFmtId="0" fontId="14" fillId="16" borderId="0" xfId="0" applyFont="1" applyFill="1" applyAlignment="1">
      <alignment horizontal="center" vertical="center"/>
    </xf>
    <xf numFmtId="0" fontId="23" fillId="30" borderId="9" xfId="0" applyFont="1" applyFill="1" applyBorder="1" applyAlignment="1">
      <alignment horizontal="center"/>
    </xf>
    <xf numFmtId="0" fontId="23" fillId="30" borderId="21" xfId="0" applyFont="1" applyFill="1" applyBorder="1" applyAlignment="1">
      <alignment horizontal="center"/>
    </xf>
    <xf numFmtId="0" fontId="16" fillId="7" borderId="20" xfId="0" applyFont="1" applyFill="1" applyBorder="1" applyAlignment="1">
      <alignment horizontal="left" vertical="center"/>
    </xf>
    <xf numFmtId="0" fontId="25" fillId="0" borderId="29" xfId="0" applyFont="1" applyBorder="1" applyAlignment="1">
      <alignment horizontal="center"/>
    </xf>
    <xf numFmtId="9" fontId="14" fillId="13" borderId="18" xfId="2" applyFont="1" applyFill="1" applyBorder="1" applyAlignment="1">
      <alignment horizontal="center" vertical="center"/>
    </xf>
    <xf numFmtId="164" fontId="19" fillId="13" borderId="100" xfId="2" applyNumberFormat="1" applyFont="1" applyFill="1" applyBorder="1" applyAlignment="1">
      <alignment horizontal="center" vertical="center" wrapText="1"/>
    </xf>
    <xf numFmtId="0" fontId="14" fillId="16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12" borderId="21" xfId="0" applyFont="1" applyFill="1" applyBorder="1" applyAlignment="1">
      <alignment horizontal="center" vertical="center"/>
    </xf>
    <xf numFmtId="0" fontId="21" fillId="11" borderId="37" xfId="0" applyFont="1" applyFill="1" applyBorder="1" applyAlignment="1">
      <alignment horizontal="center" vertical="center" textRotation="90" wrapText="1"/>
    </xf>
    <xf numFmtId="9" fontId="16" fillId="9" borderId="23" xfId="2" applyFont="1" applyFill="1" applyBorder="1" applyAlignment="1">
      <alignment horizontal="center" vertical="center"/>
    </xf>
    <xf numFmtId="9" fontId="16" fillId="9" borderId="9" xfId="2" applyFont="1" applyFill="1" applyBorder="1" applyAlignment="1">
      <alignment horizontal="center" vertical="center"/>
    </xf>
    <xf numFmtId="0" fontId="16" fillId="12" borderId="23" xfId="0" applyFont="1" applyFill="1" applyBorder="1" applyAlignment="1" applyProtection="1">
      <alignment horizontal="center" vertical="center"/>
      <protection locked="0"/>
    </xf>
    <xf numFmtId="0" fontId="16" fillId="12" borderId="9" xfId="0" applyFont="1" applyFill="1" applyBorder="1" applyAlignment="1" applyProtection="1">
      <alignment horizontal="center" vertical="center"/>
      <protection locked="0"/>
    </xf>
    <xf numFmtId="165" fontId="16" fillId="6" borderId="22" xfId="0" applyNumberFormat="1" applyFont="1" applyFill="1" applyBorder="1" applyAlignment="1">
      <alignment horizontal="center" vertical="center"/>
    </xf>
    <xf numFmtId="165" fontId="16" fillId="6" borderId="25" xfId="0" applyNumberFormat="1" applyFont="1" applyFill="1" applyBorder="1" applyAlignment="1">
      <alignment horizontal="center" vertical="center"/>
    </xf>
    <xf numFmtId="165" fontId="16" fillId="6" borderId="27" xfId="0" applyNumberFormat="1" applyFont="1" applyFill="1" applyBorder="1" applyAlignment="1">
      <alignment horizontal="center" vertical="center"/>
    </xf>
    <xf numFmtId="167" fontId="12" fillId="13" borderId="38" xfId="1" applyNumberFormat="1" applyFont="1" applyFill="1" applyBorder="1" applyAlignment="1">
      <alignment horizontal="right" vertical="center"/>
    </xf>
    <xf numFmtId="167" fontId="12" fillId="13" borderId="39" xfId="1" applyNumberFormat="1" applyFont="1" applyFill="1" applyBorder="1" applyAlignment="1">
      <alignment horizontal="right" vertical="center"/>
    </xf>
    <xf numFmtId="167" fontId="12" fillId="13" borderId="34" xfId="1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16" borderId="81" xfId="0" applyFont="1" applyFill="1" applyBorder="1" applyAlignment="1">
      <alignment horizontal="left" vertical="center" indent="77"/>
    </xf>
    <xf numFmtId="0" fontId="14" fillId="16" borderId="39" xfId="0" applyFont="1" applyFill="1" applyBorder="1" applyAlignment="1">
      <alignment horizontal="left" vertical="center" indent="77"/>
    </xf>
    <xf numFmtId="0" fontId="14" fillId="16" borderId="98" xfId="0" applyFont="1" applyFill="1" applyBorder="1" applyAlignment="1">
      <alignment horizontal="left" vertical="center" indent="77"/>
    </xf>
    <xf numFmtId="166" fontId="16" fillId="6" borderId="23" xfId="0" applyNumberFormat="1" applyFont="1" applyFill="1" applyBorder="1" applyAlignment="1">
      <alignment horizontal="center" vertical="center"/>
    </xf>
    <xf numFmtId="166" fontId="16" fillId="6" borderId="9" xfId="0" applyNumberFormat="1" applyFont="1" applyFill="1" applyBorder="1" applyAlignment="1">
      <alignment horizontal="center" vertical="center"/>
    </xf>
    <xf numFmtId="166" fontId="16" fillId="6" borderId="28" xfId="0" applyNumberFormat="1" applyFont="1" applyFill="1" applyBorder="1" applyAlignment="1">
      <alignment horizontal="center" vertical="center"/>
    </xf>
    <xf numFmtId="16" fontId="17" fillId="0" borderId="23" xfId="0" applyNumberFormat="1" applyFont="1" applyBorder="1" applyAlignment="1">
      <alignment horizontal="center" vertical="center"/>
    </xf>
    <xf numFmtId="16" fontId="17" fillId="0" borderId="9" xfId="0" applyNumberFormat="1" applyFont="1" applyBorder="1" applyAlignment="1">
      <alignment horizontal="center" vertical="center"/>
    </xf>
    <xf numFmtId="16" fontId="17" fillId="0" borderId="28" xfId="0" applyNumberFormat="1" applyFont="1" applyBorder="1" applyAlignment="1">
      <alignment horizontal="center" vertical="center"/>
    </xf>
    <xf numFmtId="0" fontId="15" fillId="0" borderId="23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167" fontId="15" fillId="0" borderId="23" xfId="0" applyNumberFormat="1" applyFont="1" applyBorder="1" applyAlignment="1">
      <alignment horizontal="center" vertical="center"/>
    </xf>
    <xf numFmtId="167" fontId="15" fillId="0" borderId="9" xfId="0" applyNumberFormat="1" applyFont="1" applyBorder="1" applyAlignment="1">
      <alignment horizontal="center" vertical="center"/>
    </xf>
    <xf numFmtId="0" fontId="16" fillId="4" borderId="23" xfId="1" applyNumberFormat="1" applyFont="1" applyFill="1" applyBorder="1" applyAlignment="1">
      <alignment horizontal="center" vertical="center"/>
    </xf>
    <xf numFmtId="0" fontId="16" fillId="4" borderId="9" xfId="1" applyNumberFormat="1" applyFont="1" applyFill="1" applyBorder="1" applyAlignment="1">
      <alignment horizontal="center" vertical="center"/>
    </xf>
    <xf numFmtId="0" fontId="16" fillId="0" borderId="24" xfId="0" applyFont="1" applyBorder="1" applyAlignment="1" applyProtection="1">
      <alignment horizontal="center" vertical="center" wrapText="1"/>
      <protection locked="0"/>
    </xf>
    <xf numFmtId="0" fontId="16" fillId="0" borderId="26" xfId="0" applyFont="1" applyBorder="1" applyAlignment="1" applyProtection="1">
      <alignment horizontal="center" vertical="center" wrapText="1"/>
      <protection locked="0"/>
    </xf>
    <xf numFmtId="9" fontId="16" fillId="28" borderId="94" xfId="0" applyNumberFormat="1" applyFont="1" applyFill="1" applyBorder="1" applyAlignment="1">
      <alignment horizontal="center" vertical="center"/>
    </xf>
    <xf numFmtId="9" fontId="16" fillId="28" borderId="95" xfId="0" applyNumberFormat="1" applyFont="1" applyFill="1" applyBorder="1" applyAlignment="1">
      <alignment horizontal="center" vertical="center"/>
    </xf>
    <xf numFmtId="0" fontId="9" fillId="27" borderId="0" xfId="0" applyFont="1" applyFill="1" applyAlignment="1">
      <alignment horizontal="center" vertical="center"/>
    </xf>
    <xf numFmtId="0" fontId="9" fillId="27" borderId="86" xfId="0" applyFont="1" applyFill="1" applyBorder="1" applyAlignment="1">
      <alignment horizontal="center" vertical="center"/>
    </xf>
    <xf numFmtId="0" fontId="16" fillId="28" borderId="94" xfId="0" applyFont="1" applyFill="1" applyBorder="1" applyAlignment="1">
      <alignment horizontal="center" vertical="center"/>
    </xf>
    <xf numFmtId="0" fontId="16" fillId="28" borderId="95" xfId="0" applyFont="1" applyFill="1" applyBorder="1" applyAlignment="1">
      <alignment horizontal="center" vertical="center"/>
    </xf>
    <xf numFmtId="168" fontId="16" fillId="12" borderId="3" xfId="2" applyNumberFormat="1" applyFont="1" applyFill="1" applyBorder="1" applyAlignment="1">
      <alignment horizontal="center" vertical="center" wrapText="1"/>
    </xf>
    <xf numFmtId="168" fontId="16" fillId="12" borderId="4" xfId="2" applyNumberFormat="1" applyFont="1" applyFill="1" applyBorder="1" applyAlignment="1">
      <alignment horizontal="center" vertical="center" wrapText="1"/>
    </xf>
    <xf numFmtId="168" fontId="16" fillId="12" borderId="5" xfId="2" applyNumberFormat="1" applyFont="1" applyFill="1" applyBorder="1" applyAlignment="1">
      <alignment horizontal="center" vertical="center" wrapText="1"/>
    </xf>
    <xf numFmtId="0" fontId="9" fillId="27" borderId="14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2" fillId="3" borderId="86" xfId="0" applyFont="1" applyFill="1" applyBorder="1" applyAlignment="1">
      <alignment horizontal="center" vertical="center"/>
    </xf>
    <xf numFmtId="0" fontId="16" fillId="8" borderId="87" xfId="0" applyFont="1" applyFill="1" applyBorder="1" applyAlignment="1">
      <alignment horizontal="center" vertical="center" wrapText="1"/>
    </xf>
    <xf numFmtId="0" fontId="16" fillId="8" borderId="91" xfId="0" applyFont="1" applyFill="1" applyBorder="1" applyAlignment="1">
      <alignment horizontal="center" vertical="center" wrapText="1"/>
    </xf>
    <xf numFmtId="0" fontId="16" fillId="8" borderId="88" xfId="0" applyFont="1" applyFill="1" applyBorder="1" applyAlignment="1">
      <alignment horizontal="center" vertical="center" wrapText="1"/>
    </xf>
    <xf numFmtId="0" fontId="16" fillId="8" borderId="92" xfId="0" applyFont="1" applyFill="1" applyBorder="1" applyAlignment="1">
      <alignment horizontal="center" vertical="center" wrapText="1"/>
    </xf>
    <xf numFmtId="0" fontId="16" fillId="8" borderId="69" xfId="0" applyFont="1" applyFill="1" applyBorder="1" applyAlignment="1">
      <alignment horizontal="center" vertical="center" wrapText="1"/>
    </xf>
    <xf numFmtId="0" fontId="16" fillId="8" borderId="70" xfId="0" applyFont="1" applyFill="1" applyBorder="1" applyAlignment="1">
      <alignment horizontal="center" vertical="center" wrapText="1"/>
    </xf>
    <xf numFmtId="0" fontId="16" fillId="8" borderId="89" xfId="0" applyFont="1" applyFill="1" applyBorder="1" applyAlignment="1">
      <alignment horizontal="center" vertical="center" wrapText="1"/>
    </xf>
    <xf numFmtId="0" fontId="16" fillId="8" borderId="93" xfId="0" applyFont="1" applyFill="1" applyBorder="1" applyAlignment="1">
      <alignment horizontal="center" vertical="center" wrapText="1"/>
    </xf>
    <xf numFmtId="0" fontId="16" fillId="8" borderId="90" xfId="0" applyFont="1" applyFill="1" applyBorder="1" applyAlignment="1">
      <alignment horizontal="center" vertical="center" wrapText="1"/>
    </xf>
    <xf numFmtId="0" fontId="16" fillId="8" borderId="82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2" fillId="3" borderId="66" xfId="0" applyFont="1" applyFill="1" applyBorder="1" applyAlignment="1">
      <alignment horizontal="center" vertical="center"/>
    </xf>
    <xf numFmtId="0" fontId="12" fillId="3" borderId="51" xfId="0" applyFont="1" applyFill="1" applyBorder="1" applyAlignment="1">
      <alignment horizontal="center" vertical="center"/>
    </xf>
    <xf numFmtId="0" fontId="16" fillId="8" borderId="67" xfId="0" applyFont="1" applyFill="1" applyBorder="1" applyAlignment="1">
      <alignment horizontal="center" vertical="center" wrapText="1"/>
    </xf>
    <xf numFmtId="0" fontId="16" fillId="8" borderId="72" xfId="0" applyFont="1" applyFill="1" applyBorder="1" applyAlignment="1">
      <alignment horizontal="center" vertical="center" wrapText="1"/>
    </xf>
    <xf numFmtId="0" fontId="16" fillId="8" borderId="68" xfId="0" applyFont="1" applyFill="1" applyBorder="1" applyAlignment="1">
      <alignment horizontal="center" vertical="center" wrapText="1"/>
    </xf>
    <xf numFmtId="0" fontId="16" fillId="8" borderId="47" xfId="0" applyFont="1" applyFill="1" applyBorder="1" applyAlignment="1">
      <alignment horizontal="center" vertical="center" wrapText="1"/>
    </xf>
    <xf numFmtId="0" fontId="16" fillId="8" borderId="71" xfId="0" applyFont="1" applyFill="1" applyBorder="1" applyAlignment="1">
      <alignment horizontal="center" vertical="center" wrapText="1"/>
    </xf>
    <xf numFmtId="0" fontId="16" fillId="8" borderId="20" xfId="0" applyFont="1" applyFill="1" applyBorder="1" applyAlignment="1">
      <alignment horizontal="center" vertical="center" wrapText="1"/>
    </xf>
    <xf numFmtId="164" fontId="14" fillId="19" borderId="52" xfId="0" applyNumberFormat="1" applyFont="1" applyFill="1" applyBorder="1" applyAlignment="1">
      <alignment horizontal="center" vertical="center" wrapText="1"/>
    </xf>
    <xf numFmtId="164" fontId="14" fillId="19" borderId="16" xfId="0" applyNumberFormat="1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4" fillId="3" borderId="51" xfId="0" applyFont="1" applyFill="1" applyBorder="1" applyAlignment="1">
      <alignment horizontal="center" vertical="center"/>
    </xf>
    <xf numFmtId="0" fontId="16" fillId="22" borderId="22" xfId="0" applyFont="1" applyFill="1" applyBorder="1" applyAlignment="1">
      <alignment horizontal="center" vertical="center" wrapText="1"/>
    </xf>
    <xf numFmtId="0" fontId="16" fillId="22" borderId="27" xfId="0" applyFont="1" applyFill="1" applyBorder="1" applyAlignment="1">
      <alignment horizontal="center" vertical="center" wrapText="1"/>
    </xf>
    <xf numFmtId="0" fontId="16" fillId="22" borderId="23" xfId="0" applyFont="1" applyFill="1" applyBorder="1" applyAlignment="1">
      <alignment horizontal="center" vertical="center" wrapText="1"/>
    </xf>
    <xf numFmtId="0" fontId="16" fillId="22" borderId="28" xfId="0" applyFont="1" applyFill="1" applyBorder="1" applyAlignment="1">
      <alignment horizontal="center" vertical="center" wrapText="1"/>
    </xf>
    <xf numFmtId="0" fontId="16" fillId="22" borderId="24" xfId="0" applyFont="1" applyFill="1" applyBorder="1" applyAlignment="1">
      <alignment horizontal="center" vertical="center" wrapText="1"/>
    </xf>
    <xf numFmtId="0" fontId="16" fillId="22" borderId="29" xfId="0" applyFont="1" applyFill="1" applyBorder="1" applyAlignment="1">
      <alignment horizontal="center" vertical="center" wrapText="1"/>
    </xf>
    <xf numFmtId="164" fontId="9" fillId="19" borderId="52" xfId="0" applyNumberFormat="1" applyFont="1" applyFill="1" applyBorder="1" applyAlignment="1">
      <alignment horizontal="center" vertical="center" wrapText="1"/>
    </xf>
    <xf numFmtId="164" fontId="9" fillId="19" borderId="53" xfId="0" applyNumberFormat="1" applyFont="1" applyFill="1" applyBorder="1" applyAlignment="1">
      <alignment horizontal="center" vertical="center" wrapText="1"/>
    </xf>
    <xf numFmtId="0" fontId="16" fillId="7" borderId="42" xfId="0" applyFont="1" applyFill="1" applyBorder="1" applyAlignment="1">
      <alignment horizontal="center" vertical="center"/>
    </xf>
    <xf numFmtId="0" fontId="16" fillId="7" borderId="43" xfId="0" applyFont="1" applyFill="1" applyBorder="1" applyAlignment="1">
      <alignment horizontal="center" vertical="center"/>
    </xf>
    <xf numFmtId="0" fontId="16" fillId="7" borderId="31" xfId="0" applyFont="1" applyFill="1" applyBorder="1" applyAlignment="1">
      <alignment horizontal="center" vertical="center"/>
    </xf>
    <xf numFmtId="0" fontId="14" fillId="14" borderId="81" xfId="0" applyFont="1" applyFill="1" applyBorder="1" applyAlignment="1">
      <alignment horizontal="left" vertical="center" indent="67"/>
    </xf>
    <xf numFmtId="0" fontId="14" fillId="14" borderId="39" xfId="0" applyFont="1" applyFill="1" applyBorder="1" applyAlignment="1">
      <alignment horizontal="left" vertical="center" indent="67"/>
    </xf>
    <xf numFmtId="0" fontId="14" fillId="14" borderId="98" xfId="0" applyFont="1" applyFill="1" applyBorder="1" applyAlignment="1">
      <alignment horizontal="left" vertical="center" indent="67"/>
    </xf>
    <xf numFmtId="165" fontId="16" fillId="0" borderId="6" xfId="0" applyNumberFormat="1" applyFont="1" applyBorder="1" applyAlignment="1">
      <alignment horizontal="center" vertical="center"/>
    </xf>
    <xf numFmtId="165" fontId="16" fillId="0" borderId="96" xfId="0" applyNumberFormat="1" applyFont="1" applyBorder="1" applyAlignment="1">
      <alignment horizontal="center" vertical="center"/>
    </xf>
    <xf numFmtId="165" fontId="16" fillId="0" borderId="44" xfId="0" applyNumberFormat="1" applyFont="1" applyBorder="1" applyAlignment="1">
      <alignment horizontal="center" vertical="center"/>
    </xf>
    <xf numFmtId="166" fontId="16" fillId="0" borderId="50" xfId="0" applyNumberFormat="1" applyFont="1" applyBorder="1" applyAlignment="1">
      <alignment horizontal="center" vertical="center"/>
    </xf>
    <xf numFmtId="166" fontId="16" fillId="0" borderId="97" xfId="0" applyNumberFormat="1" applyFont="1" applyBorder="1" applyAlignment="1">
      <alignment horizontal="center" vertical="center"/>
    </xf>
    <xf numFmtId="166" fontId="16" fillId="0" borderId="13" xfId="0" applyNumberFormat="1" applyFont="1" applyBorder="1" applyAlignment="1">
      <alignment horizontal="center" vertical="center"/>
    </xf>
    <xf numFmtId="165" fontId="16" fillId="6" borderId="6" xfId="0" applyNumberFormat="1" applyFont="1" applyFill="1" applyBorder="1" applyAlignment="1">
      <alignment horizontal="center" vertical="center"/>
    </xf>
    <xf numFmtId="165" fontId="16" fillId="6" borderId="96" xfId="0" applyNumberFormat="1" applyFont="1" applyFill="1" applyBorder="1" applyAlignment="1">
      <alignment horizontal="center" vertical="center"/>
    </xf>
    <xf numFmtId="165" fontId="16" fillId="6" borderId="44" xfId="0" applyNumberFormat="1" applyFont="1" applyFill="1" applyBorder="1" applyAlignment="1">
      <alignment horizontal="center" vertical="center"/>
    </xf>
    <xf numFmtId="166" fontId="16" fillId="6" borderId="7" xfId="0" applyNumberFormat="1" applyFont="1" applyFill="1" applyBorder="1" applyAlignment="1">
      <alignment horizontal="center" vertical="center"/>
    </xf>
    <xf numFmtId="166" fontId="16" fillId="6" borderId="15" xfId="0" applyNumberFormat="1" applyFont="1" applyFill="1" applyBorder="1" applyAlignment="1">
      <alignment horizontal="center" vertical="center"/>
    </xf>
    <xf numFmtId="166" fontId="16" fillId="6" borderId="12" xfId="0" applyNumberFormat="1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3" xr:uid="{2E8B4331-E99F-4701-9007-7BAB9490FDCF}"/>
    <cellStyle name="Percent" xfId="2" builtinId="5"/>
  </cellStyles>
  <dxfs count="65">
    <dxf>
      <font>
        <b/>
        <i val="0"/>
        <color theme="1"/>
      </font>
      <fill>
        <gradientFill degree="90">
          <stop position="0">
            <color theme="5" tint="0.80001220740379042"/>
          </stop>
          <stop position="1">
            <color theme="5" tint="0.59999389629810485"/>
          </stop>
        </gradientFill>
      </fill>
    </dxf>
    <dxf>
      <fill>
        <gradientFill degree="90">
          <stop position="0">
            <color theme="2" tint="-0.25098422193060094"/>
          </stop>
          <stop position="0.5">
            <color theme="2"/>
          </stop>
          <stop position="1">
            <color theme="2" tint="-0.25098422193060094"/>
          </stop>
        </gradientFill>
      </fill>
    </dxf>
    <dxf>
      <fill>
        <gradientFill degree="90">
          <stop position="0">
            <color theme="2" tint="-0.25098422193060094"/>
          </stop>
          <stop position="0.5">
            <color theme="2"/>
          </stop>
          <stop position="1">
            <color theme="2" tint="-0.25098422193060094"/>
          </stop>
        </gradientFill>
      </fill>
    </dxf>
    <dxf>
      <fill>
        <gradientFill degree="90">
          <stop position="0">
            <color theme="2" tint="-0.25098422193060094"/>
          </stop>
          <stop position="0.5">
            <color theme="2"/>
          </stop>
          <stop position="1">
            <color theme="2" tint="-0.25098422193060094"/>
          </stop>
        </gradientFill>
      </fill>
    </dxf>
    <dxf>
      <fill>
        <gradientFill degree="90">
          <stop position="0">
            <color theme="2" tint="-0.25098422193060094"/>
          </stop>
          <stop position="0.5">
            <color theme="2"/>
          </stop>
          <stop position="1">
            <color theme="2" tint="-0.25098422193060094"/>
          </stop>
        </gradientFill>
      </fill>
    </dxf>
    <dxf>
      <fill>
        <gradientFill degree="90">
          <stop position="0">
            <color theme="2" tint="-0.25098422193060094"/>
          </stop>
          <stop position="0.5">
            <color theme="2"/>
          </stop>
          <stop position="1">
            <color theme="2" tint="-0.25098422193060094"/>
          </stop>
        </gradientFill>
      </fill>
    </dxf>
    <dxf>
      <fill>
        <gradientFill degree="90">
          <stop position="0">
            <color theme="2" tint="-0.25098422193060094"/>
          </stop>
          <stop position="0.5">
            <color theme="2"/>
          </stop>
          <stop position="1">
            <color theme="2" tint="-0.25098422193060094"/>
          </stop>
        </gradientFill>
      </fill>
    </dxf>
    <dxf>
      <fill>
        <gradientFill degree="90">
          <stop position="0">
            <color theme="2" tint="-0.25098422193060094"/>
          </stop>
          <stop position="0.5">
            <color theme="2"/>
          </stop>
          <stop position="1">
            <color theme="2" tint="-0.25098422193060094"/>
          </stop>
        </gradientFill>
      </fill>
    </dxf>
    <dxf>
      <fill>
        <gradientFill degree="90">
          <stop position="0">
            <color theme="2" tint="-0.25098422193060094"/>
          </stop>
          <stop position="0.5">
            <color theme="2"/>
          </stop>
          <stop position="1">
            <color theme="2" tint="-0.25098422193060094"/>
          </stop>
        </gradientFill>
      </fill>
    </dxf>
    <dxf>
      <fill>
        <gradientFill degree="90">
          <stop position="0">
            <color theme="2" tint="-0.25098422193060094"/>
          </stop>
          <stop position="0.5">
            <color theme="2"/>
          </stop>
          <stop position="1">
            <color theme="2" tint="-0.25098422193060094"/>
          </stop>
        </gradientFill>
      </fill>
    </dxf>
    <dxf>
      <fill>
        <gradientFill degree="90">
          <stop position="0">
            <color theme="2" tint="-0.25098422193060094"/>
          </stop>
          <stop position="0.5">
            <color theme="2"/>
          </stop>
          <stop position="1">
            <color theme="2" tint="-0.25098422193060094"/>
          </stop>
        </gradientFill>
      </fill>
    </dxf>
    <dxf>
      <font>
        <b/>
        <i val="0"/>
        <color theme="1"/>
      </font>
      <fill>
        <gradientFill degree="90">
          <stop position="0">
            <color theme="5" tint="0.80001220740379042"/>
          </stop>
          <stop position="1">
            <color theme="5" tint="0.59999389629810485"/>
          </stop>
        </gradientFill>
      </fill>
    </dxf>
    <dxf>
      <fill>
        <gradientFill degree="90">
          <stop position="0">
            <color theme="2" tint="-0.25098422193060094"/>
          </stop>
          <stop position="0.5">
            <color theme="2"/>
          </stop>
          <stop position="1">
            <color theme="2" tint="-0.25098422193060094"/>
          </stop>
        </gradientFill>
      </fill>
    </dxf>
    <dxf>
      <fill>
        <gradientFill degree="90">
          <stop position="0">
            <color theme="2" tint="-0.25098422193060094"/>
          </stop>
          <stop position="0.5">
            <color theme="2"/>
          </stop>
          <stop position="1">
            <color theme="2" tint="-0.25098422193060094"/>
          </stop>
        </gradientFill>
      </fill>
    </dxf>
    <dxf>
      <fill>
        <gradientFill degree="90">
          <stop position="0">
            <color theme="2" tint="-0.25098422193060094"/>
          </stop>
          <stop position="0.5">
            <color theme="2"/>
          </stop>
          <stop position="1">
            <color theme="2" tint="-0.25098422193060094"/>
          </stop>
        </gradientFill>
      </fill>
    </dxf>
    <dxf>
      <fill>
        <gradientFill degree="90">
          <stop position="0">
            <color theme="2" tint="-0.25098422193060094"/>
          </stop>
          <stop position="0.5">
            <color theme="2"/>
          </stop>
          <stop position="1">
            <color theme="2" tint="-0.25098422193060094"/>
          </stop>
        </gradientFill>
      </fill>
    </dxf>
    <dxf>
      <fill>
        <gradientFill degree="90">
          <stop position="0">
            <color theme="2" tint="-0.25098422193060094"/>
          </stop>
          <stop position="0.5">
            <color theme="2"/>
          </stop>
          <stop position="1">
            <color theme="2" tint="-0.25098422193060094"/>
          </stop>
        </gradientFill>
      </fill>
    </dxf>
    <dxf>
      <fill>
        <gradientFill degree="90">
          <stop position="0">
            <color theme="2" tint="-0.25098422193060094"/>
          </stop>
          <stop position="0.5">
            <color theme="2"/>
          </stop>
          <stop position="1">
            <color theme="2" tint="-0.25098422193060094"/>
          </stop>
        </gradientFill>
      </fill>
    </dxf>
    <dxf>
      <font>
        <b/>
        <i val="0"/>
        <color theme="1"/>
      </font>
      <fill>
        <gradientFill degree="90">
          <stop position="0">
            <color theme="5" tint="0.80001220740379042"/>
          </stop>
          <stop position="1">
            <color theme="5" tint="0.59999389629810485"/>
          </stop>
        </gradientFill>
      </fill>
    </dxf>
    <dxf>
      <fill>
        <gradientFill degree="90">
          <stop position="0">
            <color theme="2" tint="-0.25098422193060094"/>
          </stop>
          <stop position="0.5">
            <color theme="2"/>
          </stop>
          <stop position="1">
            <color theme="2" tint="-0.25098422193060094"/>
          </stop>
        </gradientFill>
      </fill>
    </dxf>
    <dxf>
      <fill>
        <gradientFill degree="90">
          <stop position="0">
            <color theme="2" tint="-0.25098422193060094"/>
          </stop>
          <stop position="0.5">
            <color theme="2"/>
          </stop>
          <stop position="1">
            <color theme="2" tint="-0.25098422193060094"/>
          </stop>
        </gradientFill>
      </fill>
    </dxf>
    <dxf>
      <font>
        <b/>
        <i val="0"/>
        <color theme="1"/>
      </font>
      <fill>
        <gradientFill degree="90">
          <stop position="0">
            <color theme="5" tint="0.80001220740379042"/>
          </stop>
          <stop position="1">
            <color theme="5" tint="0.59999389629810485"/>
          </stop>
        </gradientFill>
      </fill>
    </dxf>
    <dxf>
      <fill>
        <gradientFill degree="90">
          <stop position="0">
            <color theme="2" tint="-0.25098422193060094"/>
          </stop>
          <stop position="0.5">
            <color theme="2"/>
          </stop>
          <stop position="1">
            <color theme="2" tint="-0.25098422193060094"/>
          </stop>
        </gradientFill>
      </fill>
    </dxf>
    <dxf>
      <font>
        <b/>
        <i val="0"/>
        <color theme="1"/>
      </font>
      <fill>
        <gradientFill degree="90">
          <stop position="0">
            <color theme="5" tint="0.80001220740379042"/>
          </stop>
          <stop position="1">
            <color theme="5" tint="0.59999389629810485"/>
          </stop>
        </gradientFill>
      </fill>
    </dxf>
    <dxf>
      <fill>
        <gradientFill degree="90">
          <stop position="0">
            <color theme="2" tint="-0.25098422193060094"/>
          </stop>
          <stop position="0.5">
            <color theme="2"/>
          </stop>
          <stop position="1">
            <color theme="2" tint="-0.25098422193060094"/>
          </stop>
        </gradientFill>
      </fill>
    </dxf>
    <dxf>
      <fill>
        <gradientFill degree="90">
          <stop position="0">
            <color theme="2" tint="-0.25098422193060094"/>
          </stop>
          <stop position="0.5">
            <color theme="2"/>
          </stop>
          <stop position="1">
            <color theme="2" tint="-0.25098422193060094"/>
          </stop>
        </gradientFill>
      </fill>
    </dxf>
    <dxf>
      <font>
        <b/>
        <i val="0"/>
        <color theme="1"/>
      </font>
      <fill>
        <gradientFill degree="90">
          <stop position="0">
            <color theme="5" tint="0.80001220740379042"/>
          </stop>
          <stop position="1">
            <color theme="5" tint="0.59999389629810485"/>
          </stop>
        </gradientFill>
      </fill>
    </dxf>
    <dxf>
      <fill>
        <gradientFill degree="90">
          <stop position="0">
            <color theme="2" tint="-9.8025452436902985E-2"/>
          </stop>
          <stop position="0.5">
            <color theme="0" tint="-5.0965910824915313E-2"/>
          </stop>
          <stop position="1">
            <color theme="2" tint="-9.8025452436902985E-2"/>
          </stop>
        </gradientFill>
      </fill>
    </dxf>
    <dxf>
      <fill>
        <gradientFill degree="90">
          <stop position="0">
            <color theme="2" tint="-0.25098422193060094"/>
          </stop>
          <stop position="0.5">
            <color theme="2"/>
          </stop>
          <stop position="1">
            <color theme="2" tint="-0.25098422193060094"/>
          </stop>
        </gradientFill>
      </fill>
    </dxf>
    <dxf>
      <fill>
        <gradientFill degree="90">
          <stop position="0">
            <color theme="2" tint="-9.8025452436902985E-2"/>
          </stop>
          <stop position="0.5">
            <color theme="0" tint="-5.0965910824915313E-2"/>
          </stop>
          <stop position="1">
            <color theme="2" tint="-9.8025452436902985E-2"/>
          </stop>
        </gradientFill>
      </fill>
    </dxf>
    <dxf>
      <fill>
        <gradientFill degree="90">
          <stop position="0">
            <color theme="2" tint="-9.8025452436902985E-2"/>
          </stop>
          <stop position="0.5">
            <color theme="0" tint="-5.0965910824915313E-2"/>
          </stop>
          <stop position="1">
            <color theme="2" tint="-9.8025452436902985E-2"/>
          </stop>
        </gradientFill>
      </fill>
    </dxf>
    <dxf>
      <fill>
        <gradientFill degree="90">
          <stop position="0">
            <color theme="2" tint="-9.8025452436902985E-2"/>
          </stop>
          <stop position="0.5">
            <color theme="0" tint="-5.0965910824915313E-2"/>
          </stop>
          <stop position="1">
            <color theme="2" tint="-9.8025452436902985E-2"/>
          </stop>
        </gradientFill>
      </fill>
    </dxf>
    <dxf>
      <fill>
        <gradientFill degree="90">
          <stop position="0">
            <color theme="2" tint="-9.8025452436902985E-2"/>
          </stop>
          <stop position="0.5">
            <color theme="0" tint="-5.0965910824915313E-2"/>
          </stop>
          <stop position="1">
            <color theme="2" tint="-9.8025452436902985E-2"/>
          </stop>
        </gradientFill>
      </fill>
    </dxf>
    <dxf>
      <fill>
        <gradientFill degree="90">
          <stop position="0">
            <color theme="2" tint="-0.25098422193060094"/>
          </stop>
          <stop position="0.5">
            <color theme="2"/>
          </stop>
          <stop position="1">
            <color theme="2" tint="-0.25098422193060094"/>
          </stop>
        </gradientFill>
      </fill>
    </dxf>
    <dxf>
      <fill>
        <gradientFill degree="90">
          <stop position="0">
            <color theme="2" tint="-0.25098422193060094"/>
          </stop>
          <stop position="0.5">
            <color theme="2"/>
          </stop>
          <stop position="1">
            <color theme="2" tint="-0.25098422193060094"/>
          </stop>
        </gradientFill>
      </fill>
    </dxf>
    <dxf>
      <fill>
        <gradientFill degree="90">
          <stop position="0">
            <color theme="2" tint="-0.25098422193060094"/>
          </stop>
          <stop position="0.5">
            <color theme="2"/>
          </stop>
          <stop position="1">
            <color theme="2" tint="-0.25098422193060094"/>
          </stop>
        </gradientFill>
      </fill>
    </dxf>
    <dxf>
      <fill>
        <gradientFill degree="90">
          <stop position="0">
            <color theme="2" tint="-0.25098422193060094"/>
          </stop>
          <stop position="0.5">
            <color theme="2"/>
          </stop>
          <stop position="1">
            <color theme="2" tint="-0.25098422193060094"/>
          </stop>
        </gradientFill>
      </fill>
    </dxf>
    <dxf>
      <font>
        <b/>
        <i val="0"/>
        <color theme="1"/>
      </font>
      <fill>
        <gradientFill degree="90">
          <stop position="0">
            <color theme="5" tint="0.80001220740379042"/>
          </stop>
          <stop position="1">
            <color theme="5" tint="0.59999389629810485"/>
          </stop>
        </gradientFill>
      </fill>
    </dxf>
    <dxf>
      <fill>
        <gradientFill degree="90">
          <stop position="0">
            <color theme="2" tint="-0.25098422193060094"/>
          </stop>
          <stop position="0.5">
            <color theme="2"/>
          </stop>
          <stop position="1">
            <color theme="2" tint="-0.25098422193060094"/>
          </stop>
        </gradientFill>
      </fill>
    </dxf>
    <dxf>
      <fill>
        <gradientFill degree="90">
          <stop position="0">
            <color theme="2" tint="-9.8025452436902985E-2"/>
          </stop>
          <stop position="0.5">
            <color theme="0" tint="-5.0965910824915313E-2"/>
          </stop>
          <stop position="1">
            <color theme="2" tint="-9.8025452436902985E-2"/>
          </stop>
        </gradientFill>
      </fill>
    </dxf>
    <dxf>
      <fill>
        <gradientFill degree="90">
          <stop position="0">
            <color theme="2" tint="-9.8025452436902985E-2"/>
          </stop>
          <stop position="0.5">
            <color theme="0" tint="-5.0965910824915313E-2"/>
          </stop>
          <stop position="1">
            <color theme="2" tint="-9.8025452436902985E-2"/>
          </stop>
        </gradientFill>
      </fill>
    </dxf>
    <dxf>
      <fill>
        <gradientFill degree="90">
          <stop position="0">
            <color theme="2" tint="-9.8025452436902985E-2"/>
          </stop>
          <stop position="0.5">
            <color theme="0" tint="-5.0965910824915313E-2"/>
          </stop>
          <stop position="1">
            <color theme="2" tint="-9.8025452436902985E-2"/>
          </stop>
        </gradientFill>
      </fill>
    </dxf>
    <dxf>
      <fill>
        <gradientFill degree="90">
          <stop position="0">
            <color theme="2" tint="-9.8025452436902985E-2"/>
          </stop>
          <stop position="0.5">
            <color theme="0" tint="-5.0965910824915313E-2"/>
          </stop>
          <stop position="1">
            <color theme="2" tint="-9.8025452436902985E-2"/>
          </stop>
        </gradientFill>
      </fill>
    </dxf>
    <dxf>
      <fill>
        <gradientFill degree="90">
          <stop position="0">
            <color theme="2" tint="-9.8025452436902985E-2"/>
          </stop>
          <stop position="0.5">
            <color theme="0" tint="-5.0965910824915313E-2"/>
          </stop>
          <stop position="1">
            <color theme="2" tint="-9.8025452436902985E-2"/>
          </stop>
        </gradientFill>
      </fill>
    </dxf>
    <dxf>
      <fill>
        <gradientFill degree="90">
          <stop position="0">
            <color theme="2" tint="-9.8025452436902985E-2"/>
          </stop>
          <stop position="0.5">
            <color theme="0" tint="-5.0965910824915313E-2"/>
          </stop>
          <stop position="1">
            <color theme="2" tint="-9.8025452436902985E-2"/>
          </stop>
        </gradientFill>
      </fill>
    </dxf>
    <dxf>
      <fill>
        <gradientFill degree="90">
          <stop position="0">
            <color theme="2" tint="-9.8025452436902985E-2"/>
          </stop>
          <stop position="0.5">
            <color theme="0" tint="-5.0965910824915313E-2"/>
          </stop>
          <stop position="1">
            <color theme="2" tint="-9.8025452436902985E-2"/>
          </stop>
        </gradientFill>
      </fill>
    </dxf>
    <dxf>
      <fill>
        <gradientFill degree="90">
          <stop position="0">
            <color theme="2" tint="-9.8025452436902985E-2"/>
          </stop>
          <stop position="0.5">
            <color theme="0" tint="-5.0965910824915313E-2"/>
          </stop>
          <stop position="1">
            <color theme="2" tint="-9.8025452436902985E-2"/>
          </stop>
        </gradientFill>
      </fill>
    </dxf>
    <dxf>
      <fill>
        <gradientFill degree="90">
          <stop position="0">
            <color theme="2" tint="-9.8025452436902985E-2"/>
          </stop>
          <stop position="0.5">
            <color theme="0" tint="-5.0965910824915313E-2"/>
          </stop>
          <stop position="1">
            <color theme="2" tint="-9.8025452436902985E-2"/>
          </stop>
        </gradientFill>
      </fill>
    </dxf>
    <dxf>
      <fill>
        <gradientFill degree="90">
          <stop position="0">
            <color theme="2" tint="-9.8025452436902985E-2"/>
          </stop>
          <stop position="0.5">
            <color theme="0" tint="-5.0965910824915313E-2"/>
          </stop>
          <stop position="1">
            <color theme="2" tint="-9.8025452436902985E-2"/>
          </stop>
        </gradientFill>
      </fill>
    </dxf>
    <dxf>
      <fill>
        <gradientFill degree="90">
          <stop position="0">
            <color theme="2" tint="-9.8025452436902985E-2"/>
          </stop>
          <stop position="0.5">
            <color theme="0" tint="-5.0965910824915313E-2"/>
          </stop>
          <stop position="1">
            <color theme="2" tint="-9.8025452436902985E-2"/>
          </stop>
        </gradientFill>
      </fill>
    </dxf>
    <dxf>
      <fill>
        <gradientFill degree="90">
          <stop position="0">
            <color theme="2" tint="-9.8025452436902985E-2"/>
          </stop>
          <stop position="0.5">
            <color theme="0" tint="-5.0965910824915313E-2"/>
          </stop>
          <stop position="1">
            <color theme="2" tint="-9.8025452436902985E-2"/>
          </stop>
        </gradientFill>
      </fill>
    </dxf>
    <dxf>
      <fill>
        <gradientFill degree="90">
          <stop position="0">
            <color theme="2" tint="-9.8025452436902985E-2"/>
          </stop>
          <stop position="0.5">
            <color theme="0" tint="-5.0965910824915313E-2"/>
          </stop>
          <stop position="1">
            <color theme="2" tint="-9.8025452436902985E-2"/>
          </stop>
        </gradientFill>
      </fill>
    </dxf>
    <dxf>
      <fill>
        <gradientFill degree="90">
          <stop position="0">
            <color theme="2" tint="-9.8025452436902985E-2"/>
          </stop>
          <stop position="0.5">
            <color theme="0" tint="-5.0965910824915313E-2"/>
          </stop>
          <stop position="1">
            <color theme="2" tint="-9.8025452436902985E-2"/>
          </stop>
        </gradientFill>
      </fill>
    </dxf>
    <dxf>
      <fill>
        <gradientFill degree="90">
          <stop position="0">
            <color theme="2" tint="-9.8025452436902985E-2"/>
          </stop>
          <stop position="0.5">
            <color theme="0" tint="-5.0965910824915313E-2"/>
          </stop>
          <stop position="1">
            <color theme="2" tint="-9.8025452436902985E-2"/>
          </stop>
        </gradientFill>
      </fill>
    </dxf>
    <dxf>
      <fill>
        <gradientFill degree="90">
          <stop position="0">
            <color theme="2" tint="-9.8025452436902985E-2"/>
          </stop>
          <stop position="0.5">
            <color theme="0" tint="-5.0965910824915313E-2"/>
          </stop>
          <stop position="1">
            <color theme="2" tint="-9.8025452436902985E-2"/>
          </stop>
        </gradientFill>
      </fill>
    </dxf>
    <dxf>
      <fill>
        <gradientFill degree="90">
          <stop position="0">
            <color theme="2" tint="-9.8025452436902985E-2"/>
          </stop>
          <stop position="0.5">
            <color theme="0" tint="-5.0965910824915313E-2"/>
          </stop>
          <stop position="1">
            <color theme="2" tint="-9.8025452436902985E-2"/>
          </stop>
        </gradientFill>
      </fill>
    </dxf>
    <dxf>
      <fill>
        <gradientFill degree="90">
          <stop position="0">
            <color theme="2" tint="-9.8025452436902985E-2"/>
          </stop>
          <stop position="0.5">
            <color theme="0" tint="-5.0965910824915313E-2"/>
          </stop>
          <stop position="1">
            <color theme="2" tint="-9.8025452436902985E-2"/>
          </stop>
        </gradientFill>
      </fill>
    </dxf>
    <dxf>
      <fill>
        <gradientFill degree="90">
          <stop position="0">
            <color theme="2" tint="-9.8025452436902985E-2"/>
          </stop>
          <stop position="0.5">
            <color theme="0" tint="-5.0965910824915313E-2"/>
          </stop>
          <stop position="1">
            <color theme="2" tint="-9.8025452436902985E-2"/>
          </stop>
        </gradientFill>
      </fill>
    </dxf>
    <dxf>
      <fill>
        <gradientFill degree="90">
          <stop position="0">
            <color theme="2" tint="-0.25098422193060094"/>
          </stop>
          <stop position="0.5">
            <color theme="2"/>
          </stop>
          <stop position="1">
            <color theme="2" tint="-0.25098422193060094"/>
          </stop>
        </gradientFill>
      </fill>
    </dxf>
    <dxf>
      <font>
        <color theme="0"/>
      </font>
      <fill>
        <patternFill>
          <bgColor theme="2" tint="-0.89996032593768116"/>
        </patternFill>
      </fill>
    </dxf>
    <dxf>
      <font>
        <b/>
        <i val="0"/>
        <color theme="1"/>
      </font>
      <fill>
        <gradientFill degree="90">
          <stop position="0">
            <color theme="5" tint="0.80001220740379042"/>
          </stop>
          <stop position="1">
            <color theme="5" tint="0.59999389629810485"/>
          </stop>
        </gradientFill>
      </fill>
    </dxf>
    <dxf>
      <fill>
        <gradientFill degree="90">
          <stop position="0">
            <color theme="2" tint="-0.25098422193060094"/>
          </stop>
          <stop position="0.5">
            <color theme="2"/>
          </stop>
          <stop position="1">
            <color theme="2" tint="-0.25098422193060094"/>
          </stop>
        </gradientFill>
      </fill>
    </dxf>
    <dxf>
      <font>
        <b/>
        <i val="0"/>
        <color theme="1"/>
      </font>
      <fill>
        <gradientFill degree="90">
          <stop position="0">
            <color theme="5" tint="0.80001220740379042"/>
          </stop>
          <stop position="1">
            <color theme="5" tint="0.59999389629810485"/>
          </stop>
        </gradientFill>
      </fill>
    </dxf>
    <dxf>
      <fill>
        <gradientFill degree="90">
          <stop position="0">
            <color theme="2" tint="-0.25098422193060094"/>
          </stop>
          <stop position="0.5">
            <color theme="2"/>
          </stop>
          <stop position="1">
            <color theme="2" tint="-0.25098422193060094"/>
          </stop>
        </gradient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99FF"/>
      <color rgb="FFCC66FF"/>
      <color rgb="FF9966FF"/>
      <color rgb="FFFF505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Running Time (%)</a:t>
            </a:r>
          </a:p>
        </c:rich>
      </c:tx>
      <c:layout>
        <c:manualLayout>
          <c:xMode val="edge"/>
          <c:yMode val="edge"/>
          <c:x val="0.19885558286250912"/>
          <c:y val="0.111780869000861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7582702451553313E-2"/>
          <c:y val="0.34589922544982027"/>
          <c:w val="0.90483459987785864"/>
          <c:h val="0.42476051661768255"/>
        </c:manualLayout>
      </c:layout>
      <c:lineChart>
        <c:grouping val="standard"/>
        <c:varyColors val="0"/>
        <c:ser>
          <c:idx val="0"/>
          <c:order val="0"/>
          <c:tx>
            <c:strRef>
              <c:f>'Production Status'!$E$3</c:f>
              <c:strCache>
                <c:ptCount val="1"/>
                <c:pt idx="0">
                  <c:v>Production Running Time (%)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5"/>
              </a:outerShdw>
            </a:effectLst>
          </c:spPr>
          <c:marker>
            <c:symbol val="none"/>
          </c:marker>
          <c:dLbls>
            <c:spPr>
              <a:solidFill>
                <a:schemeClr val="accent5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'Production Status'!$A$4:$A$11</c:f>
              <c:strCache>
                <c:ptCount val="8"/>
                <c:pt idx="0">
                  <c:v>Fan Auto Die Casting</c:v>
                </c:pt>
                <c:pt idx="1">
                  <c:v>Fan Power Press &amp; Stamping</c:v>
                </c:pt>
                <c:pt idx="2">
                  <c:v>Fan Auto Powder Coating</c:v>
                </c:pt>
                <c:pt idx="3">
                  <c:v>Fan Lathe </c:v>
                </c:pt>
                <c:pt idx="4">
                  <c:v>Fan Assemble </c:v>
                </c:pt>
                <c:pt idx="5">
                  <c:v>Fan Armature</c:v>
                </c:pt>
                <c:pt idx="6">
                  <c:v>Rechargeable Fan </c:v>
                </c:pt>
                <c:pt idx="7">
                  <c:v>Exhaust Fan </c:v>
                </c:pt>
              </c:strCache>
            </c:strRef>
          </c:cat>
          <c:val>
            <c:numRef>
              <c:f>'Production Status'!$E$4:$E$11</c:f>
              <c:numCache>
                <c:formatCode>0.0%</c:formatCode>
                <c:ptCount val="8"/>
                <c:pt idx="0">
                  <c:v>-7.9262452107279696E-2</c:v>
                </c:pt>
                <c:pt idx="1">
                  <c:v>0.14324436168011587</c:v>
                </c:pt>
                <c:pt idx="2">
                  <c:v>2.5429553264604811E-2</c:v>
                </c:pt>
                <c:pt idx="3">
                  <c:v>0.13367231638418078</c:v>
                </c:pt>
                <c:pt idx="4">
                  <c:v>0.90169491525423728</c:v>
                </c:pt>
                <c:pt idx="5">
                  <c:v>0.90169491525423728</c:v>
                </c:pt>
                <c:pt idx="6">
                  <c:v>0.90476190476190477</c:v>
                </c:pt>
                <c:pt idx="7">
                  <c:v>0.875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89-4B86-B68D-2861ED16691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404093544"/>
        <c:axId val="404098248"/>
      </c:lineChart>
      <c:catAx>
        <c:axId val="404093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098248"/>
        <c:crosses val="autoZero"/>
        <c:auto val="1"/>
        <c:lblAlgn val="ctr"/>
        <c:lblOffset val="100"/>
        <c:noMultiLvlLbl val="0"/>
      </c:catAx>
      <c:valAx>
        <c:axId val="404098248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404093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Total Down Time (%)</a:t>
            </a:r>
          </a:p>
        </c:rich>
      </c:tx>
      <c:layout>
        <c:manualLayout>
          <c:xMode val="edge"/>
          <c:yMode val="edge"/>
          <c:x val="0.11080862856541801"/>
          <c:y val="5.69066627327192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349680158908208E-2"/>
          <c:y val="0.20231232003397165"/>
          <c:w val="0.92818737902182158"/>
          <c:h val="0.59394044638679455"/>
        </c:manualLayout>
      </c:layout>
      <c:lineChart>
        <c:grouping val="stacked"/>
        <c:varyColors val="0"/>
        <c:ser>
          <c:idx val="0"/>
          <c:order val="0"/>
          <c:tx>
            <c:strRef>
              <c:f>'Production Status'!$F$3</c:f>
              <c:strCache>
                <c:ptCount val="1"/>
                <c:pt idx="0">
                  <c:v>Production Down Time (%)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3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'Production Status'!$A$4:$A$11</c:f>
              <c:strCache>
                <c:ptCount val="8"/>
                <c:pt idx="0">
                  <c:v>Fan Auto Die Casting</c:v>
                </c:pt>
                <c:pt idx="1">
                  <c:v>Fan Power Press &amp; Stamping</c:v>
                </c:pt>
                <c:pt idx="2">
                  <c:v>Fan Auto Powder Coating</c:v>
                </c:pt>
                <c:pt idx="3">
                  <c:v>Fan Lathe </c:v>
                </c:pt>
                <c:pt idx="4">
                  <c:v>Fan Assemble </c:v>
                </c:pt>
                <c:pt idx="5">
                  <c:v>Fan Armature</c:v>
                </c:pt>
                <c:pt idx="6">
                  <c:v>Rechargeable Fan </c:v>
                </c:pt>
                <c:pt idx="7">
                  <c:v>Exhaust Fan </c:v>
                </c:pt>
              </c:strCache>
            </c:strRef>
          </c:cat>
          <c:val>
            <c:numRef>
              <c:f>'Production Status'!$F$4:$F$11</c:f>
              <c:numCache>
                <c:formatCode>0.0%</c:formatCode>
                <c:ptCount val="8"/>
                <c:pt idx="0">
                  <c:v>0.53963122605363989</c:v>
                </c:pt>
                <c:pt idx="1">
                  <c:v>0.42496379060624873</c:v>
                </c:pt>
                <c:pt idx="2">
                  <c:v>0.48728522336769758</c:v>
                </c:pt>
                <c:pt idx="3">
                  <c:v>0.43316384180790962</c:v>
                </c:pt>
                <c:pt idx="4">
                  <c:v>4.9152542372881358E-2</c:v>
                </c:pt>
                <c:pt idx="5">
                  <c:v>4.9152542372881358E-2</c:v>
                </c:pt>
                <c:pt idx="6">
                  <c:v>4.7619047619047616E-2</c:v>
                </c:pt>
                <c:pt idx="7">
                  <c:v>6.25E-2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48-4716-86C7-DAF407A8DE6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404092368"/>
        <c:axId val="404091976"/>
      </c:lineChart>
      <c:catAx>
        <c:axId val="40409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091976"/>
        <c:crosses val="autoZero"/>
        <c:auto val="1"/>
        <c:lblAlgn val="ctr"/>
        <c:lblOffset val="100"/>
        <c:noMultiLvlLbl val="0"/>
      </c:catAx>
      <c:valAx>
        <c:axId val="404091976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40409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accent3"/>
    </a:solidFill>
    <a:ln w="9525" cap="flat" cmpd="sng" algn="ctr">
      <a:solidFill>
        <a:schemeClr val="lt1">
          <a:lumMod val="85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620083</xdr:colOff>
      <xdr:row>0</xdr:row>
      <xdr:rowOff>38100</xdr:rowOff>
    </xdr:from>
    <xdr:to>
      <xdr:col>8</xdr:col>
      <xdr:colOff>1333500</xdr:colOff>
      <xdr:row>1</xdr:row>
      <xdr:rowOff>179253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50041E-49FC-4296-8150-594F26A5E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5258" y="38100"/>
          <a:ext cx="713417" cy="5221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88824</xdr:colOff>
      <xdr:row>12</xdr:row>
      <xdr:rowOff>108097</xdr:rowOff>
    </xdr:from>
    <xdr:to>
      <xdr:col>2</xdr:col>
      <xdr:colOff>620233</xdr:colOff>
      <xdr:row>26</xdr:row>
      <xdr:rowOff>11076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A86225-7E7A-4F16-B9A8-AE821AD578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841746</xdr:colOff>
      <xdr:row>12</xdr:row>
      <xdr:rowOff>155619</xdr:rowOff>
    </xdr:from>
    <xdr:to>
      <xdr:col>5</xdr:col>
      <xdr:colOff>941425</xdr:colOff>
      <xdr:row>26</xdr:row>
      <xdr:rowOff>22151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AC1202-FFD1-478F-99B2-5E71ECDB31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200024</xdr:colOff>
      <xdr:row>0</xdr:row>
      <xdr:rowOff>32658</xdr:rowOff>
    </xdr:from>
    <xdr:to>
      <xdr:col>6</xdr:col>
      <xdr:colOff>1114425</xdr:colOff>
      <xdr:row>1</xdr:row>
      <xdr:rowOff>178971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AB2083F-9CB1-42D3-B832-272EC055B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9549" y="32658"/>
          <a:ext cx="914401" cy="5844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831465</xdr:colOff>
      <xdr:row>0</xdr:row>
      <xdr:rowOff>10295</xdr:rowOff>
    </xdr:from>
    <xdr:to>
      <xdr:col>41</xdr:col>
      <xdr:colOff>1696509</xdr:colOff>
      <xdr:row>2</xdr:row>
      <xdr:rowOff>68768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24BE4F-18DD-44D0-830A-BC26599C9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42715" y="10295"/>
          <a:ext cx="865044" cy="5453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1F5AA-6F46-4D5B-9C9A-0EBA7A4A5047}">
  <sheetPr>
    <tabColor rgb="FFFF0000"/>
  </sheetPr>
  <dimension ref="A1:J7"/>
  <sheetViews>
    <sheetView tabSelected="1" topLeftCell="A2" zoomScaleNormal="100" workbookViewId="0">
      <pane ySplit="4" topLeftCell="A6" activePane="bottomLeft" state="frozen"/>
      <selection activeCell="A2" sqref="A2"/>
      <selection pane="bottomLeft" activeCell="A2" sqref="A2:J7"/>
    </sheetView>
  </sheetViews>
  <sheetFormatPr defaultColWidth="9.140625" defaultRowHeight="15" x14ac:dyDescent="0.25"/>
  <cols>
    <col min="1" max="1" width="9.28515625" customWidth="1"/>
    <col min="2" max="2" width="12.7109375" customWidth="1"/>
    <col min="3" max="3" width="11.42578125" customWidth="1"/>
    <col min="4" max="4" width="10.7109375" bestFit="1" customWidth="1"/>
    <col min="5" max="5" width="12.28515625" customWidth="1"/>
    <col min="6" max="6" width="17.42578125" customWidth="1"/>
    <col min="7" max="7" width="13.28515625" customWidth="1"/>
    <col min="8" max="8" width="10.5703125" bestFit="1" customWidth="1"/>
    <col min="9" max="9" width="12.140625" bestFit="1" customWidth="1"/>
    <col min="10" max="10" width="23.140625" customWidth="1"/>
  </cols>
  <sheetData>
    <row r="1" spans="1:10" s="118" customFormat="1" ht="31.5" customHeight="1" x14ac:dyDescent="0.25">
      <c r="A1" s="346" t="s">
        <v>87</v>
      </c>
      <c r="B1" s="339"/>
      <c r="C1" s="339"/>
      <c r="D1" s="339"/>
      <c r="E1" s="339"/>
      <c r="F1" s="339"/>
      <c r="G1" s="339"/>
      <c r="H1" s="339"/>
      <c r="I1" s="339"/>
      <c r="J1" s="340"/>
    </row>
    <row r="2" spans="1:10" s="118" customFormat="1" ht="31.5" customHeight="1" x14ac:dyDescent="0.25">
      <c r="A2" s="339" t="s">
        <v>0</v>
      </c>
      <c r="B2" s="339"/>
      <c r="C2" s="339"/>
      <c r="D2" s="339"/>
      <c r="E2" s="339"/>
      <c r="F2" s="339"/>
      <c r="G2" s="339"/>
      <c r="H2" s="339"/>
      <c r="I2" s="339"/>
      <c r="J2" s="340"/>
    </row>
    <row r="3" spans="1:10" s="118" customFormat="1" ht="16.5" customHeight="1" thickBot="1" x14ac:dyDescent="0.3">
      <c r="A3" s="347" t="s">
        <v>107</v>
      </c>
      <c r="B3" s="347"/>
      <c r="C3" s="347"/>
      <c r="D3" s="347"/>
      <c r="E3" s="347"/>
      <c r="F3" s="347"/>
      <c r="G3" s="347"/>
      <c r="H3" s="347"/>
      <c r="I3" s="347"/>
      <c r="J3" s="348"/>
    </row>
    <row r="4" spans="1:10" s="118" customFormat="1" ht="13.5" x14ac:dyDescent="0.25">
      <c r="A4" s="349" t="s">
        <v>88</v>
      </c>
      <c r="B4" s="349" t="s">
        <v>89</v>
      </c>
      <c r="C4" s="351" t="s">
        <v>46</v>
      </c>
      <c r="D4" s="353" t="s">
        <v>72</v>
      </c>
      <c r="E4" s="354"/>
      <c r="F4" s="355" t="s">
        <v>18</v>
      </c>
      <c r="G4" s="355" t="s">
        <v>19</v>
      </c>
      <c r="H4" s="355" t="s">
        <v>20</v>
      </c>
      <c r="I4" s="355" t="s">
        <v>21</v>
      </c>
      <c r="J4" s="357" t="s">
        <v>73</v>
      </c>
    </row>
    <row r="5" spans="1:10" s="118" customFormat="1" ht="39" thickBot="1" x14ac:dyDescent="0.3">
      <c r="A5" s="350"/>
      <c r="B5" s="350"/>
      <c r="C5" s="352"/>
      <c r="D5" s="110" t="s">
        <v>74</v>
      </c>
      <c r="E5" s="110" t="s">
        <v>6</v>
      </c>
      <c r="F5" s="356"/>
      <c r="G5" s="356"/>
      <c r="H5" s="356"/>
      <c r="I5" s="356"/>
      <c r="J5" s="358"/>
    </row>
    <row r="6" spans="1:10" s="118" customFormat="1" ht="14.25" thickBot="1" x14ac:dyDescent="0.3">
      <c r="A6" s="341" t="s">
        <v>90</v>
      </c>
      <c r="B6" s="168" t="s">
        <v>75</v>
      </c>
      <c r="C6" s="169" cm="1">
        <f t="array" ref="C6:E6">OEE!B13:D13</f>
        <v>1124393</v>
      </c>
      <c r="D6" s="170">
        <v>611910</v>
      </c>
      <c r="E6" s="171">
        <v>2815.9</v>
      </c>
      <c r="F6" s="172"/>
      <c r="G6" s="172"/>
      <c r="H6" s="172"/>
      <c r="I6" s="172"/>
      <c r="J6" s="337"/>
    </row>
    <row r="7" spans="1:10" s="118" customFormat="1" ht="43.5" customHeight="1" thickBot="1" x14ac:dyDescent="0.3">
      <c r="A7" s="342"/>
      <c r="B7" s="174" t="s">
        <v>91</v>
      </c>
      <c r="C7" s="343">
        <f>OEE!B15</f>
        <v>0.54421363348935825</v>
      </c>
      <c r="D7" s="344"/>
      <c r="E7" s="345"/>
      <c r="F7" s="173" cm="1">
        <f t="array" ref="F7:I7">OEE!E13:H13</f>
        <v>0.7374629660865385</v>
      </c>
      <c r="G7" s="173">
        <v>0.7539490971417474</v>
      </c>
      <c r="H7" s="173">
        <v>0.99461377402660867</v>
      </c>
      <c r="I7" s="173">
        <v>0.60394046519215794</v>
      </c>
      <c r="J7" s="338"/>
    </row>
  </sheetData>
  <mergeCells count="15">
    <mergeCell ref="J6:J7"/>
    <mergeCell ref="A2:J2"/>
    <mergeCell ref="A6:A7"/>
    <mergeCell ref="C7:E7"/>
    <mergeCell ref="A1:J1"/>
    <mergeCell ref="A3:J3"/>
    <mergeCell ref="A4:A5"/>
    <mergeCell ref="B4:B5"/>
    <mergeCell ref="C4:C5"/>
    <mergeCell ref="D4:E4"/>
    <mergeCell ref="F4:F5"/>
    <mergeCell ref="G4:G5"/>
    <mergeCell ref="H4:H5"/>
    <mergeCell ref="I4:I5"/>
    <mergeCell ref="J4:J5"/>
  </mergeCells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A9F53-AAD3-41E8-81A5-E062D99B0F75}">
  <sheetPr>
    <tabColor theme="1" tint="4.9989318521683403E-2"/>
  </sheetPr>
  <dimension ref="A1:J21"/>
  <sheetViews>
    <sheetView showGridLines="0" zoomScale="115" zoomScaleNormal="115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B15" sqref="B15"/>
    </sheetView>
  </sheetViews>
  <sheetFormatPr defaultColWidth="9.140625" defaultRowHeight="15" x14ac:dyDescent="0.25"/>
  <cols>
    <col min="1" max="1" width="24.42578125" style="175" bestFit="1" customWidth="1"/>
    <col min="2" max="2" width="12.28515625" style="175" customWidth="1"/>
    <col min="3" max="3" width="14.140625" style="175" bestFit="1" customWidth="1"/>
    <col min="4" max="4" width="8.42578125" style="175" bestFit="1" customWidth="1"/>
    <col min="5" max="5" width="10.7109375" style="175" customWidth="1"/>
    <col min="6" max="6" width="12.5703125" style="175" customWidth="1"/>
    <col min="7" max="7" width="9.140625" style="175" customWidth="1"/>
    <col min="8" max="8" width="8.140625" style="175" bestFit="1" customWidth="1"/>
    <col min="9" max="9" width="22.28515625" style="175" customWidth="1"/>
    <col min="10" max="10" width="22.28515625" style="175" bestFit="1" customWidth="1"/>
    <col min="11" max="16384" width="9.140625" style="175"/>
  </cols>
  <sheetData>
    <row r="1" spans="1:10" ht="30" x14ac:dyDescent="0.25">
      <c r="A1" s="359" t="s">
        <v>0</v>
      </c>
      <c r="B1" s="360"/>
      <c r="C1" s="360"/>
      <c r="D1" s="360"/>
      <c r="E1" s="360"/>
      <c r="F1" s="360"/>
      <c r="G1" s="360"/>
      <c r="H1" s="360"/>
      <c r="I1" s="360"/>
    </row>
    <row r="2" spans="1:10" ht="15.75" thickBot="1" x14ac:dyDescent="0.3">
      <c r="A2" s="361" t="str">
        <f>"OEE Report ("&amp;TEXT('Fan Lathe'!AM3,"mmmm yyyy")&amp;")"</f>
        <v>OEE Report (January 2026)</v>
      </c>
      <c r="B2" s="362"/>
      <c r="C2" s="362"/>
      <c r="D2" s="362"/>
      <c r="E2" s="362"/>
      <c r="F2" s="362"/>
      <c r="G2" s="362"/>
      <c r="H2" s="362"/>
      <c r="I2" s="362"/>
    </row>
    <row r="3" spans="1:10" s="106" customFormat="1" ht="12.75" x14ac:dyDescent="0.25">
      <c r="A3" s="363" t="s">
        <v>77</v>
      </c>
      <c r="B3" s="365" t="s">
        <v>46</v>
      </c>
      <c r="C3" s="353" t="s">
        <v>72</v>
      </c>
      <c r="D3" s="354"/>
      <c r="E3" s="367" t="s">
        <v>18</v>
      </c>
      <c r="F3" s="367" t="s">
        <v>19</v>
      </c>
      <c r="G3" s="367" t="s">
        <v>20</v>
      </c>
      <c r="H3" s="367" t="s">
        <v>21</v>
      </c>
      <c r="I3" s="369" t="s">
        <v>73</v>
      </c>
    </row>
    <row r="4" spans="1:10" ht="26.25" thickBot="1" x14ac:dyDescent="0.3">
      <c r="A4" s="364"/>
      <c r="B4" s="366"/>
      <c r="C4" s="110" t="s">
        <v>74</v>
      </c>
      <c r="D4" s="110" t="s">
        <v>6</v>
      </c>
      <c r="E4" s="368"/>
      <c r="F4" s="368"/>
      <c r="G4" s="368"/>
      <c r="H4" s="368"/>
      <c r="I4" s="370"/>
    </row>
    <row r="5" spans="1:10" x14ac:dyDescent="0.25">
      <c r="A5" s="176" t="s">
        <v>68</v>
      </c>
      <c r="B5" s="177" cm="1">
        <f t="array" ref="B5:D5">'Fan Auto Die Casting'!E68:G68</f>
        <v>185600</v>
      </c>
      <c r="C5" s="178">
        <v>85590</v>
      </c>
      <c r="D5" s="178">
        <v>700</v>
      </c>
      <c r="E5" s="179" cm="1">
        <f t="array" ref="E5:H5">'Fan Auto Die Casting'!AI68:AL68</f>
        <v>0.46036877394636017</v>
      </c>
      <c r="F5" s="179">
        <v>0.4611530172413793</v>
      </c>
      <c r="G5" s="180">
        <v>0.99188782014138366</v>
      </c>
      <c r="H5" s="180">
        <v>0.2105782297215161</v>
      </c>
      <c r="I5" s="181"/>
    </row>
    <row r="6" spans="1:10" x14ac:dyDescent="0.25">
      <c r="A6" s="182" t="s">
        <v>63</v>
      </c>
      <c r="B6" s="183" cm="1">
        <f t="array" ref="B6:D6">'Fan Power Press &amp; Stamping'!E162:G162</f>
        <v>342100</v>
      </c>
      <c r="C6" s="184">
        <v>169367</v>
      </c>
      <c r="D6" s="184">
        <v>218</v>
      </c>
      <c r="E6" s="185" cm="1">
        <f t="array" ref="E6:H6">'Fan Power Press &amp; Stamping'!AL162:AO162</f>
        <v>0.56820815228636457</v>
      </c>
      <c r="F6" s="185">
        <v>0.49508038585209002</v>
      </c>
      <c r="G6" s="186">
        <v>0.99871450894831504</v>
      </c>
      <c r="H6" s="186">
        <v>0.28094709144712732</v>
      </c>
      <c r="I6" s="187"/>
      <c r="J6"/>
    </row>
    <row r="7" spans="1:10" x14ac:dyDescent="0.25">
      <c r="A7" s="182" t="s">
        <v>64</v>
      </c>
      <c r="B7" s="183" cm="1">
        <f t="array" ref="B7:D7">'Auto Powder Coating'!E130:G130</f>
        <v>306960</v>
      </c>
      <c r="C7" s="184">
        <v>162925</v>
      </c>
      <c r="D7" s="184">
        <v>521</v>
      </c>
      <c r="E7" s="185" cm="1">
        <f t="array" ref="E7:H7">'Auto Powder Coating'!AI130:AL130</f>
        <v>0.51271477663230236</v>
      </c>
      <c r="F7" s="185">
        <v>0.53076948136565028</v>
      </c>
      <c r="G7" s="186">
        <v>0.99681240287312023</v>
      </c>
      <c r="H7" s="186">
        <v>0.27126590457765837</v>
      </c>
      <c r="I7" s="187"/>
      <c r="J7"/>
    </row>
    <row r="8" spans="1:10" x14ac:dyDescent="0.25">
      <c r="A8" s="182" t="s">
        <v>69</v>
      </c>
      <c r="B8" s="183" cm="1">
        <f t="array" ref="B8:D8">'Fan Lathe'!E99:G99</f>
        <v>214850</v>
      </c>
      <c r="C8" s="184">
        <v>119580</v>
      </c>
      <c r="D8" s="184">
        <v>391</v>
      </c>
      <c r="E8" s="185" cm="1">
        <f t="array" ref="E8:H8">'Fan Lathe'!AI99:AL99</f>
        <v>0.56683615819209043</v>
      </c>
      <c r="F8" s="185">
        <v>0.55657435420060508</v>
      </c>
      <c r="G8" s="186">
        <v>0.99674087904576936</v>
      </c>
      <c r="H8" s="186">
        <v>0.31445826012245276</v>
      </c>
      <c r="I8" s="187"/>
      <c r="J8"/>
    </row>
    <row r="9" spans="1:10" x14ac:dyDescent="0.25">
      <c r="A9" s="188" t="s">
        <v>58</v>
      </c>
      <c r="B9" s="183" cm="1">
        <f t="array" ref="B9:D9">'Fan Assemble'!E37:G37</f>
        <v>35200</v>
      </c>
      <c r="C9" s="184">
        <v>35200</v>
      </c>
      <c r="D9" s="184">
        <v>985.9</v>
      </c>
      <c r="E9" s="185" cm="1">
        <f t="array" ref="E9:H9">'Fan Assemble'!AI37:AL37</f>
        <v>0.95084745762711864</v>
      </c>
      <c r="F9" s="185">
        <v>1</v>
      </c>
      <c r="G9" s="186">
        <v>0.97275458120428115</v>
      </c>
      <c r="H9" s="186">
        <v>0.92494122043322324</v>
      </c>
      <c r="I9" s="187"/>
    </row>
    <row r="10" spans="1:10" x14ac:dyDescent="0.25">
      <c r="A10" s="188" t="s">
        <v>59</v>
      </c>
      <c r="B10" s="183" cm="1">
        <f t="array" ref="B10:D10">'Fan Armature'!E37:G37</f>
        <v>36297</v>
      </c>
      <c r="C10" s="184">
        <v>35862</v>
      </c>
      <c r="D10" s="184">
        <v>0</v>
      </c>
      <c r="E10" s="185" cm="1">
        <f t="array" ref="E10:H10">'Fan Armature'!AI37:AL37</f>
        <v>0.95084745762711864</v>
      </c>
      <c r="F10" s="185">
        <v>0.98801553847425405</v>
      </c>
      <c r="G10" s="186">
        <v>1</v>
      </c>
      <c r="H10" s="186">
        <v>0.93945206285433314</v>
      </c>
      <c r="I10" s="187"/>
    </row>
    <row r="11" spans="1:10" x14ac:dyDescent="0.25">
      <c r="A11" s="188" t="s">
        <v>60</v>
      </c>
      <c r="B11" s="183" cm="1">
        <f t="array" ref="B11:D11">'Fan Rechargeable'!E37:G37</f>
        <v>1500</v>
      </c>
      <c r="C11" s="184">
        <v>1500</v>
      </c>
      <c r="D11" s="184">
        <v>0</v>
      </c>
      <c r="E11" s="185" cm="1">
        <f t="array" ref="E11:H11">'Fan Rechargeable'!AI37:AL37</f>
        <v>0.95238095238095233</v>
      </c>
      <c r="F11" s="185">
        <v>1</v>
      </c>
      <c r="G11" s="186">
        <v>1</v>
      </c>
      <c r="H11" s="186">
        <v>0.95238095238095233</v>
      </c>
      <c r="I11" s="187"/>
    </row>
    <row r="12" spans="1:10" ht="15.75" thickBot="1" x14ac:dyDescent="0.3">
      <c r="A12" s="189" t="s">
        <v>61</v>
      </c>
      <c r="B12" s="190" cm="1">
        <f t="array" ref="B12:D12">'Exhaust Fan'!E37:G37</f>
        <v>1886</v>
      </c>
      <c r="C12" s="191">
        <v>1886</v>
      </c>
      <c r="D12" s="191">
        <v>0</v>
      </c>
      <c r="E12" s="192" cm="1">
        <f t="array" ref="E12:H12">'Exhaust Fan'!AI37:AL37</f>
        <v>0.9375</v>
      </c>
      <c r="F12" s="192">
        <v>1</v>
      </c>
      <c r="G12" s="193">
        <v>1</v>
      </c>
      <c r="H12" s="193">
        <v>0.9375</v>
      </c>
      <c r="I12" s="194"/>
    </row>
    <row r="13" spans="1:10" ht="15.75" thickBot="1" x14ac:dyDescent="0.3">
      <c r="A13" s="195" t="s">
        <v>75</v>
      </c>
      <c r="B13" s="196">
        <f>SUM(B5:B12)</f>
        <v>1124393</v>
      </c>
      <c r="C13" s="197">
        <f>SUM(C5:C12)</f>
        <v>611910</v>
      </c>
      <c r="D13" s="197">
        <f>SUM(D5:D12)</f>
        <v>2815.9</v>
      </c>
      <c r="E13" s="198">
        <f>IFERROR(AVERAGE(E5:E12),"0%")</f>
        <v>0.7374629660865385</v>
      </c>
      <c r="F13" s="198">
        <f>IFERROR(AVERAGE(F5:F12),"0%")</f>
        <v>0.7539490971417474</v>
      </c>
      <c r="G13" s="198">
        <f>IFERROR(AVERAGE(G5:G12),"0%")</f>
        <v>0.99461377402660867</v>
      </c>
      <c r="H13" s="199">
        <f>IFERROR(AVERAGE(H5:H12),"0%")</f>
        <v>0.60394046519215794</v>
      </c>
      <c r="I13" s="200"/>
    </row>
    <row r="14" spans="1:10" ht="15.75" customHeight="1" thickBot="1" x14ac:dyDescent="0.3">
      <c r="A14" s="201"/>
      <c r="B14" s="202"/>
      <c r="C14" s="202"/>
      <c r="D14" s="203"/>
      <c r="E14" s="204"/>
      <c r="F14" s="204"/>
      <c r="G14" s="204"/>
      <c r="H14" s="205"/>
      <c r="I14" s="206"/>
    </row>
    <row r="15" spans="1:10" ht="26.25" thickBot="1" x14ac:dyDescent="0.3">
      <c r="A15" s="207" t="s">
        <v>76</v>
      </c>
      <c r="B15" s="208">
        <f>IFERROR((C13/B13),"")</f>
        <v>0.54421363348935825</v>
      </c>
      <c r="D15" s="82"/>
    </row>
    <row r="17" spans="3:8" x14ac:dyDescent="0.25">
      <c r="H17" s="209"/>
    </row>
    <row r="18" spans="3:8" x14ac:dyDescent="0.25">
      <c r="H18" s="210"/>
    </row>
    <row r="19" spans="3:8" x14ac:dyDescent="0.25">
      <c r="C19" s="211"/>
      <c r="D19" s="212"/>
    </row>
    <row r="21" spans="3:8" x14ac:dyDescent="0.25">
      <c r="D21" s="213"/>
    </row>
  </sheetData>
  <mergeCells count="10">
    <mergeCell ref="A1:I1"/>
    <mergeCell ref="A2:I2"/>
    <mergeCell ref="A3:A4"/>
    <mergeCell ref="B3:B4"/>
    <mergeCell ref="C3:D3"/>
    <mergeCell ref="E3:E4"/>
    <mergeCell ref="F3:F4"/>
    <mergeCell ref="G3:G4"/>
    <mergeCell ref="H3:H4"/>
    <mergeCell ref="I3:I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03DD1-D01F-45B6-88FC-4AA2BAEC3520}">
  <sheetPr>
    <tabColor theme="1" tint="4.9989318521683403E-2"/>
  </sheetPr>
  <dimension ref="A1:G12"/>
  <sheetViews>
    <sheetView showGridLines="0" zoomScale="86" zoomScaleNormal="115" workbookViewId="0">
      <selection sqref="A1:G12"/>
    </sheetView>
  </sheetViews>
  <sheetFormatPr defaultColWidth="9.140625" defaultRowHeight="15" x14ac:dyDescent="0.25"/>
  <cols>
    <col min="1" max="1" width="26.5703125" style="132" bestFit="1" customWidth="1"/>
    <col min="2" max="2" width="17.28515625" style="132" customWidth="1"/>
    <col min="3" max="3" width="16.7109375" style="132" customWidth="1"/>
    <col min="4" max="4" width="17" style="132" customWidth="1"/>
    <col min="5" max="5" width="19.140625" style="132" customWidth="1"/>
    <col min="6" max="6" width="18.42578125" style="132" customWidth="1"/>
    <col min="7" max="7" width="18.140625" style="132" customWidth="1"/>
    <col min="8" max="16384" width="9.140625" style="132"/>
  </cols>
  <sheetData>
    <row r="1" spans="1:7" ht="34.5" x14ac:dyDescent="0.25">
      <c r="A1" s="371" t="s">
        <v>0</v>
      </c>
      <c r="B1" s="372"/>
      <c r="C1" s="372"/>
      <c r="D1" s="372"/>
      <c r="E1" s="372"/>
      <c r="F1" s="372"/>
      <c r="G1" s="372"/>
    </row>
    <row r="2" spans="1:7" ht="15.75" thickBot="1" x14ac:dyDescent="0.3">
      <c r="A2" s="373" t="str">
        <f>"MEP Fan Limited- Down Time &amp; Running Time Status ("&amp;TEXT('Fan Lathe'!AM3,"mmmm yyyy")&amp;")"</f>
        <v>MEP Fan Limited- Down Time &amp; Running Time Status (January 2026)</v>
      </c>
      <c r="B2" s="347"/>
      <c r="C2" s="347"/>
      <c r="D2" s="347"/>
      <c r="E2" s="347"/>
      <c r="F2" s="347"/>
      <c r="G2" s="347"/>
    </row>
    <row r="3" spans="1:7" s="134" customFormat="1" ht="47.25" customHeight="1" thickBot="1" x14ac:dyDescent="0.3">
      <c r="A3" s="133" t="s">
        <v>71</v>
      </c>
      <c r="B3" s="159" t="s">
        <v>7</v>
      </c>
      <c r="C3" s="159" t="s">
        <v>82</v>
      </c>
      <c r="D3" s="159" t="s">
        <v>83</v>
      </c>
      <c r="E3" s="159" t="s">
        <v>84</v>
      </c>
      <c r="F3" s="160" t="s">
        <v>85</v>
      </c>
      <c r="G3" s="154" t="s">
        <v>73</v>
      </c>
    </row>
    <row r="4" spans="1:7" s="134" customFormat="1" ht="15.75" customHeight="1" x14ac:dyDescent="0.25">
      <c r="A4" s="155" t="str" cm="1">
        <f t="array" ref="A4:A11">'Down Time'!A5:A12</f>
        <v>Fan Auto Die Casting</v>
      </c>
      <c r="B4" s="156">
        <f>'Fan Auto Die Casting'!H68</f>
        <v>83520</v>
      </c>
      <c r="C4" s="107" cm="1">
        <f t="array" ref="C4:C11">'Down Time'!AD5:AD12</f>
        <v>-6620</v>
      </c>
      <c r="D4" s="107" cm="1">
        <f t="array" ref="D4:D11">'Down Time'!AB5:AB12</f>
        <v>45070</v>
      </c>
      <c r="E4" s="157">
        <f t="shared" ref="E4:E12" si="0">IF(B4=0, 0, C4/B4)</f>
        <v>-7.9262452107279696E-2</v>
      </c>
      <c r="F4" s="158">
        <f t="shared" ref="F4:F5" si="1">IF(B4=0, 0, D4/B4)</f>
        <v>0.53963122605363989</v>
      </c>
      <c r="G4" s="135"/>
    </row>
    <row r="5" spans="1:7" s="134" customFormat="1" ht="13.5" x14ac:dyDescent="0.25">
      <c r="A5" s="140" t="str">
        <v>Fan Power Press &amp; Stamping</v>
      </c>
      <c r="B5" s="139">
        <f>'Fan Power Press &amp; Stamping'!H162</f>
        <v>96660</v>
      </c>
      <c r="C5" s="109">
        <v>13846</v>
      </c>
      <c r="D5" s="109">
        <v>41077</v>
      </c>
      <c r="E5" s="108">
        <f t="shared" si="0"/>
        <v>0.14324436168011587</v>
      </c>
      <c r="F5" s="136">
        <f t="shared" si="1"/>
        <v>0.42496379060624873</v>
      </c>
      <c r="G5" s="137"/>
    </row>
    <row r="6" spans="1:7" s="134" customFormat="1" ht="13.5" x14ac:dyDescent="0.25">
      <c r="A6" s="140" t="str">
        <v>Fan Auto Powder Coating</v>
      </c>
      <c r="B6" s="139">
        <f>'Auto Powder Coating'!H130</f>
        <v>34920</v>
      </c>
      <c r="C6" s="109">
        <v>888</v>
      </c>
      <c r="D6" s="109">
        <v>17016</v>
      </c>
      <c r="E6" s="108">
        <f>IF(B6=0, 0, C6/B6)</f>
        <v>2.5429553264604811E-2</v>
      </c>
      <c r="F6" s="136">
        <f>IF(B6=0, 0, D6/B6)</f>
        <v>0.48728522336769758</v>
      </c>
      <c r="G6" s="137"/>
    </row>
    <row r="7" spans="1:7" s="134" customFormat="1" ht="13.5" x14ac:dyDescent="0.25">
      <c r="A7" s="140" t="str">
        <v xml:space="preserve">Fan Lathe </v>
      </c>
      <c r="B7" s="139">
        <f>'Fan Lathe'!H99</f>
        <v>53100</v>
      </c>
      <c r="C7" s="138">
        <v>7098</v>
      </c>
      <c r="D7" s="138">
        <v>23001</v>
      </c>
      <c r="E7" s="108">
        <f t="shared" si="0"/>
        <v>0.13367231638418078</v>
      </c>
      <c r="F7" s="136">
        <f t="shared" ref="F7:F12" si="2">IF(B7=0, 0, D7/B7)</f>
        <v>0.43316384180790962</v>
      </c>
      <c r="G7" s="137"/>
    </row>
    <row r="8" spans="1:7" s="134" customFormat="1" ht="17.25" customHeight="1" x14ac:dyDescent="0.25">
      <c r="A8" s="140" t="str">
        <v xml:space="preserve">Fan Assemble </v>
      </c>
      <c r="B8" s="139">
        <f>'Fan Assemble'!H37</f>
        <v>17700</v>
      </c>
      <c r="C8" s="109">
        <v>15960</v>
      </c>
      <c r="D8" s="109">
        <v>870</v>
      </c>
      <c r="E8" s="108">
        <f t="shared" si="0"/>
        <v>0.90169491525423728</v>
      </c>
      <c r="F8" s="136">
        <f t="shared" si="2"/>
        <v>4.9152542372881358E-2</v>
      </c>
      <c r="G8" s="137"/>
    </row>
    <row r="9" spans="1:7" s="134" customFormat="1" ht="17.25" customHeight="1" x14ac:dyDescent="0.25">
      <c r="A9" s="141" t="str">
        <v>Fan Armature</v>
      </c>
      <c r="B9" s="139">
        <f>'Fan Armature'!H37</f>
        <v>17700</v>
      </c>
      <c r="C9" s="109">
        <v>15960</v>
      </c>
      <c r="D9" s="109">
        <v>870</v>
      </c>
      <c r="E9" s="108">
        <f t="shared" si="0"/>
        <v>0.90169491525423728</v>
      </c>
      <c r="F9" s="136">
        <f t="shared" si="2"/>
        <v>4.9152542372881358E-2</v>
      </c>
      <c r="G9" s="137"/>
    </row>
    <row r="10" spans="1:7" s="134" customFormat="1" ht="17.25" customHeight="1" x14ac:dyDescent="0.25">
      <c r="A10" s="141" t="str">
        <v xml:space="preserve">Rechargeable Fan </v>
      </c>
      <c r="B10" s="139">
        <f>'Fan Rechargeable'!H37</f>
        <v>15120</v>
      </c>
      <c r="C10" s="138">
        <v>13680</v>
      </c>
      <c r="D10" s="138">
        <v>720</v>
      </c>
      <c r="E10" s="108">
        <f t="shared" si="0"/>
        <v>0.90476190476190477</v>
      </c>
      <c r="F10" s="136">
        <f t="shared" si="2"/>
        <v>4.7619047619047616E-2</v>
      </c>
      <c r="G10" s="137"/>
    </row>
    <row r="11" spans="1:7" ht="16.5" thickBot="1" x14ac:dyDescent="0.3">
      <c r="A11" s="142" t="str">
        <v xml:space="preserve">Exhaust Fan </v>
      </c>
      <c r="B11" s="143">
        <f>'Exhaust Fan'!H37</f>
        <v>2400</v>
      </c>
      <c r="C11" s="144">
        <v>2100</v>
      </c>
      <c r="D11" s="145">
        <v>150</v>
      </c>
      <c r="E11" s="146">
        <f t="shared" si="0"/>
        <v>0.875</v>
      </c>
      <c r="F11" s="147">
        <f t="shared" si="2"/>
        <v>6.25E-2</v>
      </c>
      <c r="G11" s="148"/>
    </row>
    <row r="12" spans="1:7" ht="16.5" thickBot="1" x14ac:dyDescent="0.3">
      <c r="A12" s="149" t="s">
        <v>86</v>
      </c>
      <c r="B12" s="150">
        <f>SUM(B4:B11)</f>
        <v>321120</v>
      </c>
      <c r="C12" s="150">
        <f>SUM(C4:C11)</f>
        <v>62912</v>
      </c>
      <c r="D12" s="150">
        <f>SUM(D4:D11)</f>
        <v>128774</v>
      </c>
      <c r="E12" s="151">
        <f t="shared" si="0"/>
        <v>0.1959142999501744</v>
      </c>
      <c r="F12" s="152">
        <f t="shared" si="2"/>
        <v>0.40101519681116093</v>
      </c>
      <c r="G12" s="153"/>
    </row>
  </sheetData>
  <mergeCells count="2">
    <mergeCell ref="A1:G1"/>
    <mergeCell ref="A2:G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8519A-905B-46CB-A9AE-1510E4DEB73B}">
  <sheetPr>
    <tabColor theme="1" tint="4.9989318521683403E-2"/>
  </sheetPr>
  <dimension ref="A1:AN1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AE13"/>
    </sheetView>
  </sheetViews>
  <sheetFormatPr defaultColWidth="9.140625" defaultRowHeight="13.5" outlineLevelCol="1" x14ac:dyDescent="0.25"/>
  <cols>
    <col min="1" max="1" width="25.85546875" style="118" bestFit="1" customWidth="1"/>
    <col min="2" max="3" width="7" style="118" customWidth="1" outlineLevel="1"/>
    <col min="4" max="4" width="7.5703125" style="118" customWidth="1" outlineLevel="1"/>
    <col min="5" max="27" width="7" style="118" customWidth="1" outlineLevel="1"/>
    <col min="28" max="28" width="8.5703125" style="118" bestFit="1" customWidth="1"/>
    <col min="29" max="29" width="10.28515625" style="118" customWidth="1"/>
    <col min="30" max="30" width="7.5703125" style="118" bestFit="1" customWidth="1"/>
    <col min="31" max="31" width="10.28515625" style="118" customWidth="1"/>
    <col min="32" max="16384" width="9.140625" style="118"/>
  </cols>
  <sheetData>
    <row r="1" spans="1:40" s="117" customFormat="1" ht="25.5" x14ac:dyDescent="0.25">
      <c r="A1" s="374" t="s">
        <v>0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  <c r="M1" s="375"/>
      <c r="N1" s="375"/>
      <c r="O1" s="375"/>
      <c r="P1" s="375"/>
      <c r="Q1" s="375"/>
      <c r="R1" s="375"/>
      <c r="S1" s="375"/>
      <c r="T1" s="375"/>
      <c r="U1" s="375"/>
      <c r="V1" s="375"/>
      <c r="W1" s="375"/>
      <c r="X1" s="375"/>
      <c r="Y1" s="375"/>
      <c r="Z1" s="375"/>
      <c r="AA1" s="375"/>
      <c r="AB1" s="375"/>
      <c r="AC1" s="375"/>
      <c r="AD1" s="375"/>
      <c r="AE1" s="375"/>
    </row>
    <row r="2" spans="1:40" s="1" customFormat="1" ht="14.25" thickBot="1" x14ac:dyDescent="0.3">
      <c r="A2" s="318" t="str">
        <f>"Total Downtime Report ("&amp;TEXT('Fan Lathe'!AM3,"mmmm yyyy")&amp;")"</f>
        <v>Total Downtime Report (January 2026)</v>
      </c>
      <c r="B2" s="319"/>
      <c r="C2" s="319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  <c r="AA2" s="319"/>
      <c r="AB2" s="319"/>
      <c r="AC2" s="319"/>
      <c r="AD2" s="319"/>
      <c r="AE2" s="319"/>
      <c r="AF2" s="118"/>
      <c r="AG2" s="118"/>
      <c r="AH2" s="118"/>
      <c r="AI2" s="118"/>
      <c r="AJ2" s="118"/>
      <c r="AK2" s="118"/>
      <c r="AL2" s="118"/>
      <c r="AM2" s="118"/>
      <c r="AN2" s="118"/>
    </row>
    <row r="3" spans="1:40" s="1" customFormat="1" ht="14.25" thickBot="1" x14ac:dyDescent="0.3">
      <c r="A3" s="2"/>
      <c r="B3" s="131">
        <v>10</v>
      </c>
      <c r="C3" s="111">
        <v>11</v>
      </c>
      <c r="D3" s="111">
        <v>12</v>
      </c>
      <c r="E3" s="111">
        <v>13</v>
      </c>
      <c r="F3" s="111">
        <v>14</v>
      </c>
      <c r="G3" s="111">
        <v>15</v>
      </c>
      <c r="H3" s="111">
        <v>16</v>
      </c>
      <c r="I3" s="111">
        <v>17</v>
      </c>
      <c r="J3" s="111">
        <v>18</v>
      </c>
      <c r="K3" s="111">
        <v>19</v>
      </c>
      <c r="L3" s="111">
        <v>20</v>
      </c>
      <c r="M3" s="111">
        <v>21</v>
      </c>
      <c r="N3" s="111">
        <v>22</v>
      </c>
      <c r="O3" s="111">
        <v>23</v>
      </c>
      <c r="P3" s="111">
        <v>33</v>
      </c>
      <c r="Q3" s="111">
        <v>34</v>
      </c>
      <c r="R3" s="111">
        <v>35</v>
      </c>
      <c r="S3" s="111">
        <v>24</v>
      </c>
      <c r="T3" s="111">
        <v>25</v>
      </c>
      <c r="U3" s="111">
        <v>26</v>
      </c>
      <c r="V3" s="111">
        <v>27</v>
      </c>
      <c r="W3" s="111">
        <v>28</v>
      </c>
      <c r="X3" s="111">
        <v>29</v>
      </c>
      <c r="Y3" s="111">
        <v>30</v>
      </c>
      <c r="Z3" s="111">
        <v>31</v>
      </c>
      <c r="AA3" s="112">
        <v>32</v>
      </c>
      <c r="AB3" s="3"/>
      <c r="AC3" s="3"/>
      <c r="AD3" s="3"/>
      <c r="AE3" s="3"/>
      <c r="AF3" s="118"/>
      <c r="AG3" s="118"/>
      <c r="AH3" s="118"/>
      <c r="AI3" s="118"/>
      <c r="AJ3" s="118"/>
      <c r="AK3" s="118"/>
      <c r="AL3" s="118"/>
      <c r="AM3" s="118"/>
      <c r="AN3" s="118"/>
    </row>
    <row r="4" spans="1:40" s="106" customFormat="1" ht="101.25" customHeight="1" thickBot="1" x14ac:dyDescent="0.3">
      <c r="A4" s="130" t="s">
        <v>71</v>
      </c>
      <c r="B4" s="129" t="s">
        <v>28</v>
      </c>
      <c r="C4" s="119" t="s">
        <v>29</v>
      </c>
      <c r="D4" s="119" t="s">
        <v>27</v>
      </c>
      <c r="E4" s="119" t="s">
        <v>8</v>
      </c>
      <c r="F4" s="119" t="s">
        <v>38</v>
      </c>
      <c r="G4" s="119" t="s">
        <v>9</v>
      </c>
      <c r="H4" s="119" t="s">
        <v>10</v>
      </c>
      <c r="I4" s="119" t="s">
        <v>11</v>
      </c>
      <c r="J4" s="119" t="s">
        <v>12</v>
      </c>
      <c r="K4" s="119" t="s">
        <v>13</v>
      </c>
      <c r="L4" s="119" t="s">
        <v>14</v>
      </c>
      <c r="M4" s="119" t="s">
        <v>30</v>
      </c>
      <c r="N4" s="119" t="s">
        <v>44</v>
      </c>
      <c r="O4" s="119" t="s">
        <v>25</v>
      </c>
      <c r="P4" s="119" t="s">
        <v>100</v>
      </c>
      <c r="Q4" s="119" t="s">
        <v>101</v>
      </c>
      <c r="R4" s="119" t="s">
        <v>102</v>
      </c>
      <c r="S4" s="119" t="s">
        <v>31</v>
      </c>
      <c r="T4" s="119" t="s">
        <v>32</v>
      </c>
      <c r="U4" s="119" t="s">
        <v>15</v>
      </c>
      <c r="V4" s="119" t="s">
        <v>16</v>
      </c>
      <c r="W4" s="119" t="s">
        <v>33</v>
      </c>
      <c r="X4" s="119" t="s">
        <v>36</v>
      </c>
      <c r="Y4" s="119" t="s">
        <v>40</v>
      </c>
      <c r="Z4" s="119" t="s">
        <v>37</v>
      </c>
      <c r="AA4" s="119" t="s">
        <v>39</v>
      </c>
      <c r="AB4" s="120" t="s">
        <v>17</v>
      </c>
      <c r="AC4" s="120" t="s">
        <v>78</v>
      </c>
      <c r="AD4" s="120" t="s">
        <v>79</v>
      </c>
      <c r="AE4" s="121" t="s">
        <v>80</v>
      </c>
    </row>
    <row r="5" spans="1:40" s="1" customFormat="1" x14ac:dyDescent="0.25">
      <c r="A5" s="113" t="s">
        <v>68</v>
      </c>
      <c r="B5" s="161" cm="1">
        <f t="array" ref="B5:AA5">_xlfn.XLOOKUP(B3:AA3,'Fan Auto Die Casting'!K4:AG4,'Fan Auto Die Casting'!K68:AG68,0)</f>
        <v>810</v>
      </c>
      <c r="C5" s="162">
        <v>70</v>
      </c>
      <c r="D5" s="162">
        <v>42420</v>
      </c>
      <c r="E5" s="162">
        <v>370</v>
      </c>
      <c r="F5" s="162">
        <v>0</v>
      </c>
      <c r="G5" s="162">
        <v>60</v>
      </c>
      <c r="H5" s="162">
        <v>280</v>
      </c>
      <c r="I5" s="162">
        <v>0</v>
      </c>
      <c r="J5" s="162">
        <v>0</v>
      </c>
      <c r="K5" s="162">
        <v>0</v>
      </c>
      <c r="L5" s="162">
        <v>0</v>
      </c>
      <c r="M5" s="162">
        <v>0</v>
      </c>
      <c r="N5" s="162">
        <v>0</v>
      </c>
      <c r="O5" s="162">
        <v>0</v>
      </c>
      <c r="P5" s="162">
        <v>0</v>
      </c>
      <c r="Q5" s="162">
        <v>0</v>
      </c>
      <c r="R5" s="162">
        <v>0</v>
      </c>
      <c r="S5" s="162">
        <v>0</v>
      </c>
      <c r="T5" s="162">
        <v>90</v>
      </c>
      <c r="U5" s="162">
        <v>0</v>
      </c>
      <c r="V5" s="162">
        <v>0</v>
      </c>
      <c r="W5" s="162">
        <v>0</v>
      </c>
      <c r="X5" s="162">
        <v>640</v>
      </c>
      <c r="Y5" s="162">
        <v>90</v>
      </c>
      <c r="Z5" s="162">
        <v>0</v>
      </c>
      <c r="AA5" s="162">
        <v>240</v>
      </c>
      <c r="AB5" s="163">
        <f t="shared" ref="AB5:AB12" si="0">SUM(B5:AA5)</f>
        <v>45070</v>
      </c>
      <c r="AC5" s="162" cm="1">
        <f t="array" ref="AC5:AC12">TOP!B5:B12</f>
        <v>38450</v>
      </c>
      <c r="AD5" s="122">
        <f t="shared" ref="AD5:AD7" si="1">AC5-AB5</f>
        <v>-6620</v>
      </c>
      <c r="AE5" s="114">
        <f>IFERROR(AB5/AC5,0)</f>
        <v>1.1721716514954486</v>
      </c>
      <c r="AF5" s="118"/>
      <c r="AG5" s="118"/>
      <c r="AH5" s="118"/>
      <c r="AI5" s="118"/>
      <c r="AJ5" s="118"/>
      <c r="AK5" s="118"/>
      <c r="AL5" s="118"/>
      <c r="AM5" s="118"/>
      <c r="AN5" s="118"/>
    </row>
    <row r="6" spans="1:40" s="1" customFormat="1" x14ac:dyDescent="0.25">
      <c r="A6" s="115" t="s">
        <v>63</v>
      </c>
      <c r="B6" s="164" cm="1">
        <f t="array" ref="B6:AA6">_xlfn.XLOOKUP(B3:AA3,'Fan Power Press &amp; Stamping'!K4:AJ4,'Fan Power Press &amp; Stamping'!K162:AJ162,0)</f>
        <v>0</v>
      </c>
      <c r="C6" s="163">
        <v>0</v>
      </c>
      <c r="D6" s="163">
        <v>21211</v>
      </c>
      <c r="E6" s="163">
        <v>5775</v>
      </c>
      <c r="F6" s="163">
        <v>210</v>
      </c>
      <c r="G6" s="163">
        <v>25</v>
      </c>
      <c r="H6" s="163">
        <v>0</v>
      </c>
      <c r="I6" s="163">
        <v>0</v>
      </c>
      <c r="J6" s="163">
        <v>1355</v>
      </c>
      <c r="K6" s="163">
        <v>5284</v>
      </c>
      <c r="L6" s="163">
        <v>0</v>
      </c>
      <c r="M6" s="163">
        <v>0</v>
      </c>
      <c r="N6" s="163">
        <v>0</v>
      </c>
      <c r="O6" s="163">
        <v>140</v>
      </c>
      <c r="P6" s="163">
        <v>1005</v>
      </c>
      <c r="Q6" s="163">
        <v>40</v>
      </c>
      <c r="R6" s="163">
        <v>3075</v>
      </c>
      <c r="S6" s="163">
        <v>53</v>
      </c>
      <c r="T6" s="163">
        <v>2321</v>
      </c>
      <c r="U6" s="163">
        <v>0</v>
      </c>
      <c r="V6" s="163">
        <v>0</v>
      </c>
      <c r="W6" s="163">
        <v>0</v>
      </c>
      <c r="X6" s="163">
        <v>583</v>
      </c>
      <c r="Y6" s="163">
        <v>0</v>
      </c>
      <c r="Z6" s="163">
        <v>0</v>
      </c>
      <c r="AA6" s="163">
        <v>0</v>
      </c>
      <c r="AB6" s="163">
        <f t="shared" si="0"/>
        <v>41077</v>
      </c>
      <c r="AC6" s="163">
        <v>54923</v>
      </c>
      <c r="AD6" s="288">
        <f>AC6-AB6</f>
        <v>13846</v>
      </c>
      <c r="AE6" s="114">
        <f t="shared" ref="AE6:AE13" si="2">IFERROR(AB6/AC6,0)</f>
        <v>0.74790160770533287</v>
      </c>
      <c r="AF6" s="118"/>
      <c r="AG6" s="118"/>
      <c r="AH6" s="118"/>
      <c r="AI6" s="118"/>
      <c r="AJ6" s="118"/>
      <c r="AK6" s="118"/>
      <c r="AL6" s="118"/>
      <c r="AM6" s="118"/>
      <c r="AN6" s="118"/>
    </row>
    <row r="7" spans="1:40" s="1" customFormat="1" x14ac:dyDescent="0.25">
      <c r="A7" s="115" t="s">
        <v>64</v>
      </c>
      <c r="B7" s="164" cm="1">
        <f t="array" ref="B7:AA7">_xlfn.XLOOKUP(B3:AA3,'Auto Powder Coating'!K4:AG4,'Auto Powder Coating'!K130:AG130,0)</f>
        <v>100</v>
      </c>
      <c r="C7" s="163">
        <v>0</v>
      </c>
      <c r="D7" s="163">
        <v>16886</v>
      </c>
      <c r="E7" s="163">
        <v>0</v>
      </c>
      <c r="F7" s="163">
        <v>0</v>
      </c>
      <c r="G7" s="163">
        <v>0</v>
      </c>
      <c r="H7" s="163">
        <v>0</v>
      </c>
      <c r="I7" s="163">
        <v>0</v>
      </c>
      <c r="J7" s="163">
        <v>0</v>
      </c>
      <c r="K7" s="163">
        <v>0</v>
      </c>
      <c r="L7" s="163">
        <v>0</v>
      </c>
      <c r="M7" s="163">
        <v>0</v>
      </c>
      <c r="N7" s="163">
        <v>0</v>
      </c>
      <c r="O7" s="163">
        <v>0</v>
      </c>
      <c r="P7" s="163">
        <v>0</v>
      </c>
      <c r="Q7" s="163">
        <v>0</v>
      </c>
      <c r="R7" s="163">
        <v>0</v>
      </c>
      <c r="S7" s="163">
        <v>0</v>
      </c>
      <c r="T7" s="163">
        <v>30</v>
      </c>
      <c r="U7" s="163">
        <v>0</v>
      </c>
      <c r="V7" s="163">
        <v>0</v>
      </c>
      <c r="W7" s="163">
        <v>0</v>
      </c>
      <c r="X7" s="163">
        <v>0</v>
      </c>
      <c r="Y7" s="163">
        <v>0</v>
      </c>
      <c r="Z7" s="163">
        <v>0</v>
      </c>
      <c r="AA7" s="163">
        <v>0</v>
      </c>
      <c r="AB7" s="163">
        <f t="shared" si="0"/>
        <v>17016</v>
      </c>
      <c r="AC7" s="163">
        <v>17904</v>
      </c>
      <c r="AD7" s="122">
        <f t="shared" si="1"/>
        <v>888</v>
      </c>
      <c r="AE7" s="114">
        <f t="shared" si="2"/>
        <v>0.95040214477211793</v>
      </c>
      <c r="AF7" s="118"/>
      <c r="AG7" s="118"/>
      <c r="AH7" s="118"/>
      <c r="AI7" s="118"/>
      <c r="AJ7" s="118"/>
      <c r="AK7" s="118"/>
      <c r="AL7" s="118"/>
      <c r="AM7" s="118"/>
      <c r="AN7" s="118"/>
    </row>
    <row r="8" spans="1:40" s="1" customFormat="1" x14ac:dyDescent="0.25">
      <c r="A8" s="115" t="s">
        <v>69</v>
      </c>
      <c r="B8" s="164" cm="1">
        <f t="array" ref="B8:AA8">_xlfn.XLOOKUP(B3:AA3,'Fan Lathe'!K4:AG4,'Fan Lathe'!K99:AG99,0)</f>
        <v>0</v>
      </c>
      <c r="C8" s="163">
        <v>0</v>
      </c>
      <c r="D8" s="163">
        <v>20461</v>
      </c>
      <c r="E8" s="163">
        <v>0</v>
      </c>
      <c r="F8" s="163">
        <v>0</v>
      </c>
      <c r="G8" s="163">
        <v>0</v>
      </c>
      <c r="H8" s="163">
        <v>0</v>
      </c>
      <c r="I8" s="163">
        <v>0</v>
      </c>
      <c r="J8" s="163">
        <v>0</v>
      </c>
      <c r="K8" s="163">
        <v>0</v>
      </c>
      <c r="L8" s="163">
        <v>0</v>
      </c>
      <c r="M8" s="163">
        <v>0</v>
      </c>
      <c r="N8" s="163">
        <v>0</v>
      </c>
      <c r="O8" s="163">
        <v>0</v>
      </c>
      <c r="P8" s="163">
        <v>0</v>
      </c>
      <c r="Q8" s="163">
        <v>0</v>
      </c>
      <c r="R8" s="163">
        <v>0</v>
      </c>
      <c r="S8" s="163">
        <v>0</v>
      </c>
      <c r="T8" s="163">
        <v>2540</v>
      </c>
      <c r="U8" s="163">
        <v>0</v>
      </c>
      <c r="V8" s="163">
        <v>0</v>
      </c>
      <c r="W8" s="163">
        <v>0</v>
      </c>
      <c r="X8" s="163">
        <v>0</v>
      </c>
      <c r="Y8" s="163">
        <v>0</v>
      </c>
      <c r="Z8" s="163">
        <v>0</v>
      </c>
      <c r="AA8" s="163">
        <v>0</v>
      </c>
      <c r="AB8" s="163">
        <f t="shared" si="0"/>
        <v>23001</v>
      </c>
      <c r="AC8" s="163">
        <v>30099</v>
      </c>
      <c r="AD8" s="122">
        <f>AC8-AB8</f>
        <v>7098</v>
      </c>
      <c r="AE8" s="114">
        <f t="shared" si="2"/>
        <v>0.76417821190072754</v>
      </c>
      <c r="AF8" s="118"/>
      <c r="AG8" s="118"/>
      <c r="AH8" s="118"/>
      <c r="AI8" s="118"/>
      <c r="AJ8" s="118"/>
      <c r="AK8" s="118"/>
      <c r="AL8" s="118"/>
      <c r="AM8" s="118"/>
      <c r="AN8" s="118"/>
    </row>
    <row r="9" spans="1:40" s="1" customFormat="1" x14ac:dyDescent="0.25">
      <c r="A9" s="116" t="s">
        <v>58</v>
      </c>
      <c r="B9" s="161" cm="1">
        <f t="array" ref="B9:AA9">_xlfn.XLOOKUP(B3:AA3,'Fan Assemble'!K4:AG4,'Fan Assemble'!K37:AG37,0)</f>
        <v>0</v>
      </c>
      <c r="C9" s="162">
        <v>0</v>
      </c>
      <c r="D9" s="162">
        <v>0</v>
      </c>
      <c r="E9" s="162">
        <v>0</v>
      </c>
      <c r="F9" s="162">
        <v>0</v>
      </c>
      <c r="G9" s="162">
        <v>0</v>
      </c>
      <c r="H9" s="162">
        <v>0</v>
      </c>
      <c r="I9" s="162">
        <v>0</v>
      </c>
      <c r="J9" s="162">
        <v>0</v>
      </c>
      <c r="K9" s="162">
        <v>0</v>
      </c>
      <c r="L9" s="162">
        <v>0</v>
      </c>
      <c r="M9" s="162">
        <v>0</v>
      </c>
      <c r="N9" s="162">
        <v>0</v>
      </c>
      <c r="O9" s="162">
        <v>0</v>
      </c>
      <c r="P9" s="162">
        <v>0</v>
      </c>
      <c r="Q9" s="162">
        <v>0</v>
      </c>
      <c r="R9" s="162">
        <v>0</v>
      </c>
      <c r="S9" s="162">
        <v>0</v>
      </c>
      <c r="T9" s="162">
        <v>870</v>
      </c>
      <c r="U9" s="162">
        <v>0</v>
      </c>
      <c r="V9" s="162">
        <v>0</v>
      </c>
      <c r="W9" s="162">
        <v>0</v>
      </c>
      <c r="X9" s="162">
        <v>0</v>
      </c>
      <c r="Y9" s="162">
        <v>0</v>
      </c>
      <c r="Z9" s="162">
        <v>0</v>
      </c>
      <c r="AA9" s="162">
        <v>0</v>
      </c>
      <c r="AB9" s="163">
        <f t="shared" si="0"/>
        <v>870</v>
      </c>
      <c r="AC9" s="162">
        <v>16830</v>
      </c>
      <c r="AD9" s="122">
        <f t="shared" ref="AD9" si="3">AC9-AB9</f>
        <v>15960</v>
      </c>
      <c r="AE9" s="114">
        <f t="shared" si="2"/>
        <v>5.1693404634581108E-2</v>
      </c>
      <c r="AF9" s="118"/>
      <c r="AG9" s="118"/>
      <c r="AH9" s="118"/>
      <c r="AI9" s="118"/>
      <c r="AJ9" s="118"/>
      <c r="AK9" s="118"/>
      <c r="AL9" s="118"/>
      <c r="AM9" s="118"/>
      <c r="AN9" s="118"/>
    </row>
    <row r="10" spans="1:40" s="1" customFormat="1" x14ac:dyDescent="0.25">
      <c r="A10" s="116" t="s">
        <v>59</v>
      </c>
      <c r="B10" s="161" cm="1">
        <f t="array" ref="B10:AA10">_xlfn.XLOOKUP(B3:AA3,'Fan Armature'!K4:AG4,'Fan Armature'!K37:AG37,0)</f>
        <v>0</v>
      </c>
      <c r="C10" s="162">
        <v>0</v>
      </c>
      <c r="D10" s="162">
        <v>0</v>
      </c>
      <c r="E10" s="162">
        <v>0</v>
      </c>
      <c r="F10" s="162">
        <v>0</v>
      </c>
      <c r="G10" s="162">
        <v>0</v>
      </c>
      <c r="H10" s="162">
        <v>0</v>
      </c>
      <c r="I10" s="162">
        <v>0</v>
      </c>
      <c r="J10" s="162">
        <v>0</v>
      </c>
      <c r="K10" s="162">
        <v>0</v>
      </c>
      <c r="L10" s="162">
        <v>0</v>
      </c>
      <c r="M10" s="162">
        <v>0</v>
      </c>
      <c r="N10" s="162">
        <v>0</v>
      </c>
      <c r="O10" s="162">
        <v>0</v>
      </c>
      <c r="P10" s="162">
        <v>0</v>
      </c>
      <c r="Q10" s="162">
        <v>0</v>
      </c>
      <c r="R10" s="162">
        <v>0</v>
      </c>
      <c r="S10" s="162">
        <v>0</v>
      </c>
      <c r="T10" s="162">
        <v>870</v>
      </c>
      <c r="U10" s="162">
        <v>0</v>
      </c>
      <c r="V10" s="162">
        <v>0</v>
      </c>
      <c r="W10" s="162">
        <v>0</v>
      </c>
      <c r="X10" s="162">
        <v>0</v>
      </c>
      <c r="Y10" s="162">
        <v>0</v>
      </c>
      <c r="Z10" s="162">
        <v>0</v>
      </c>
      <c r="AA10" s="162">
        <v>0</v>
      </c>
      <c r="AB10" s="163">
        <f t="shared" si="0"/>
        <v>870</v>
      </c>
      <c r="AC10" s="162">
        <v>16830</v>
      </c>
      <c r="AD10" s="122">
        <f>AC10-AB10</f>
        <v>15960</v>
      </c>
      <c r="AE10" s="114">
        <f t="shared" si="2"/>
        <v>5.1693404634581108E-2</v>
      </c>
      <c r="AF10" s="118"/>
      <c r="AG10" s="118"/>
      <c r="AH10" s="118"/>
      <c r="AI10" s="118"/>
      <c r="AJ10" s="118"/>
      <c r="AK10" s="118"/>
      <c r="AL10" s="118"/>
      <c r="AM10" s="118"/>
      <c r="AN10" s="118"/>
    </row>
    <row r="11" spans="1:40" s="1" customFormat="1" x14ac:dyDescent="0.25">
      <c r="A11" s="115" t="s">
        <v>60</v>
      </c>
      <c r="B11" s="164" cm="1">
        <f t="array" ref="B11:AA11">_xlfn.XLOOKUP(B3:AA3,'Fan Rechargeable'!K4:AG4,'Fan Rechargeable'!K37:AG37,0)</f>
        <v>0</v>
      </c>
      <c r="C11" s="163">
        <v>0</v>
      </c>
      <c r="D11" s="163">
        <v>0</v>
      </c>
      <c r="E11" s="163">
        <v>0</v>
      </c>
      <c r="F11" s="163">
        <v>0</v>
      </c>
      <c r="G11" s="163">
        <v>0</v>
      </c>
      <c r="H11" s="163">
        <v>0</v>
      </c>
      <c r="I11" s="163">
        <v>0</v>
      </c>
      <c r="J11" s="163">
        <v>0</v>
      </c>
      <c r="K11" s="163">
        <v>0</v>
      </c>
      <c r="L11" s="163">
        <v>0</v>
      </c>
      <c r="M11" s="163">
        <v>0</v>
      </c>
      <c r="N11" s="163">
        <v>0</v>
      </c>
      <c r="O11" s="163">
        <v>0</v>
      </c>
      <c r="P11" s="163">
        <v>0</v>
      </c>
      <c r="Q11" s="163">
        <v>0</v>
      </c>
      <c r="R11" s="163">
        <v>0</v>
      </c>
      <c r="S11" s="163">
        <v>0</v>
      </c>
      <c r="T11" s="163">
        <v>720</v>
      </c>
      <c r="U11" s="163">
        <v>0</v>
      </c>
      <c r="V11" s="163">
        <v>0</v>
      </c>
      <c r="W11" s="163">
        <v>0</v>
      </c>
      <c r="X11" s="163">
        <v>0</v>
      </c>
      <c r="Y11" s="163">
        <v>0</v>
      </c>
      <c r="Z11" s="163">
        <v>0</v>
      </c>
      <c r="AA11" s="163">
        <v>0</v>
      </c>
      <c r="AB11" s="163">
        <f t="shared" si="0"/>
        <v>720</v>
      </c>
      <c r="AC11" s="163">
        <v>14400</v>
      </c>
      <c r="AD11" s="122">
        <f t="shared" ref="AD11" si="4">AC11-AB11</f>
        <v>13680</v>
      </c>
      <c r="AE11" s="114">
        <f t="shared" si="2"/>
        <v>0.05</v>
      </c>
      <c r="AF11" s="118"/>
      <c r="AG11" s="118"/>
      <c r="AH11" s="118"/>
      <c r="AI11" s="118"/>
      <c r="AJ11" s="118"/>
      <c r="AK11" s="118"/>
      <c r="AL11" s="118"/>
      <c r="AM11" s="118"/>
      <c r="AN11" s="118"/>
    </row>
    <row r="12" spans="1:40" s="1" customFormat="1" ht="14.25" thickBot="1" x14ac:dyDescent="0.3">
      <c r="A12" s="125" t="s">
        <v>61</v>
      </c>
      <c r="B12" s="165" cm="1">
        <f t="array" ref="B12:AA12">_xlfn.XLOOKUP(B3:AA3,'Exhaust Fan'!K4:AG4,'Exhaust Fan'!K37:AG37,0)</f>
        <v>0</v>
      </c>
      <c r="C12" s="166">
        <v>0</v>
      </c>
      <c r="D12" s="166">
        <v>0</v>
      </c>
      <c r="E12" s="166">
        <v>0</v>
      </c>
      <c r="F12" s="166">
        <v>0</v>
      </c>
      <c r="G12" s="166">
        <v>0</v>
      </c>
      <c r="H12" s="166">
        <v>0</v>
      </c>
      <c r="I12" s="166">
        <v>0</v>
      </c>
      <c r="J12" s="166">
        <v>0</v>
      </c>
      <c r="K12" s="166">
        <v>0</v>
      </c>
      <c r="L12" s="166">
        <v>0</v>
      </c>
      <c r="M12" s="166">
        <v>0</v>
      </c>
      <c r="N12" s="166">
        <v>0</v>
      </c>
      <c r="O12" s="166">
        <v>0</v>
      </c>
      <c r="P12" s="166">
        <v>0</v>
      </c>
      <c r="Q12" s="166">
        <v>0</v>
      </c>
      <c r="R12" s="166">
        <v>0</v>
      </c>
      <c r="S12" s="166">
        <v>0</v>
      </c>
      <c r="T12" s="166">
        <v>150</v>
      </c>
      <c r="U12" s="166">
        <v>0</v>
      </c>
      <c r="V12" s="166">
        <v>0</v>
      </c>
      <c r="W12" s="166">
        <v>0</v>
      </c>
      <c r="X12" s="166">
        <v>0</v>
      </c>
      <c r="Y12" s="166">
        <v>0</v>
      </c>
      <c r="Z12" s="166">
        <v>0</v>
      </c>
      <c r="AA12" s="166">
        <v>0</v>
      </c>
      <c r="AB12" s="166">
        <f t="shared" si="0"/>
        <v>150</v>
      </c>
      <c r="AC12" s="166">
        <v>2250</v>
      </c>
      <c r="AD12" s="126">
        <f>AC12-AB12</f>
        <v>2100</v>
      </c>
      <c r="AE12" s="127">
        <f t="shared" si="2"/>
        <v>6.6666666666666666E-2</v>
      </c>
      <c r="AF12" s="118"/>
      <c r="AG12" s="118"/>
      <c r="AH12" s="118"/>
      <c r="AI12" s="118"/>
      <c r="AJ12" s="118"/>
      <c r="AK12" s="118"/>
      <c r="AL12" s="118"/>
      <c r="AM12" s="118"/>
      <c r="AN12" s="118"/>
    </row>
    <row r="13" spans="1:40" s="117" customFormat="1" thickBot="1" x14ac:dyDescent="0.3">
      <c r="A13" s="128" t="s">
        <v>81</v>
      </c>
      <c r="B13" s="123">
        <f t="shared" ref="B13:AC13" si="5">SUM(B5:B12)</f>
        <v>910</v>
      </c>
      <c r="C13" s="123">
        <f t="shared" si="5"/>
        <v>70</v>
      </c>
      <c r="D13" s="123">
        <f t="shared" si="5"/>
        <v>100978</v>
      </c>
      <c r="E13" s="123">
        <f t="shared" si="5"/>
        <v>6145</v>
      </c>
      <c r="F13" s="123">
        <f t="shared" si="5"/>
        <v>210</v>
      </c>
      <c r="G13" s="123">
        <f t="shared" si="5"/>
        <v>85</v>
      </c>
      <c r="H13" s="123">
        <f t="shared" si="5"/>
        <v>280</v>
      </c>
      <c r="I13" s="123">
        <f t="shared" si="5"/>
        <v>0</v>
      </c>
      <c r="J13" s="123">
        <f t="shared" si="5"/>
        <v>1355</v>
      </c>
      <c r="K13" s="123">
        <f t="shared" si="5"/>
        <v>5284</v>
      </c>
      <c r="L13" s="123">
        <f t="shared" si="5"/>
        <v>0</v>
      </c>
      <c r="M13" s="123">
        <f t="shared" si="5"/>
        <v>0</v>
      </c>
      <c r="N13" s="123">
        <f t="shared" si="5"/>
        <v>0</v>
      </c>
      <c r="O13" s="123">
        <f t="shared" si="5"/>
        <v>140</v>
      </c>
      <c r="P13" s="123"/>
      <c r="Q13" s="123"/>
      <c r="R13" s="123"/>
      <c r="S13" s="123">
        <f t="shared" si="5"/>
        <v>53</v>
      </c>
      <c r="T13" s="123">
        <f t="shared" si="5"/>
        <v>7591</v>
      </c>
      <c r="U13" s="123">
        <f t="shared" si="5"/>
        <v>0</v>
      </c>
      <c r="V13" s="123">
        <f t="shared" si="5"/>
        <v>0</v>
      </c>
      <c r="W13" s="123">
        <f t="shared" si="5"/>
        <v>0</v>
      </c>
      <c r="X13" s="123">
        <f t="shared" si="5"/>
        <v>1223</v>
      </c>
      <c r="Y13" s="123">
        <f t="shared" si="5"/>
        <v>90</v>
      </c>
      <c r="Z13" s="123">
        <f t="shared" si="5"/>
        <v>0</v>
      </c>
      <c r="AA13" s="123">
        <f t="shared" si="5"/>
        <v>240</v>
      </c>
      <c r="AB13" s="123">
        <f t="shared" si="5"/>
        <v>128774</v>
      </c>
      <c r="AC13" s="123">
        <f t="shared" si="5"/>
        <v>191686</v>
      </c>
      <c r="AD13" s="123">
        <f>SUM(AD7:AD12)</f>
        <v>55686</v>
      </c>
      <c r="AE13" s="124">
        <f t="shared" si="2"/>
        <v>0.67179658399674469</v>
      </c>
    </row>
    <row r="14" spans="1:40" s="1" customFormat="1" x14ac:dyDescent="0.25">
      <c r="AF14" s="118"/>
      <c r="AG14" s="118"/>
      <c r="AH14" s="118"/>
      <c r="AI14" s="118"/>
      <c r="AJ14" s="118"/>
      <c r="AK14" s="118"/>
      <c r="AL14" s="118"/>
      <c r="AM14" s="118"/>
      <c r="AN14" s="118"/>
    </row>
  </sheetData>
  <mergeCells count="2">
    <mergeCell ref="A1:AE1"/>
    <mergeCell ref="A2:AE2"/>
  </mergeCells>
  <conditionalFormatting sqref="A4:AE4">
    <cfRule type="duplicateValues" dxfId="64" priority="8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36640-4DFC-433F-9C58-36A173BB2359}">
  <sheetPr>
    <tabColor theme="1" tint="4.9989318521683403E-2"/>
  </sheetPr>
  <dimension ref="A1:G15"/>
  <sheetViews>
    <sheetView showGridLines="0" zoomScale="130" zoomScaleNormal="130" workbookViewId="0">
      <selection activeCell="B23" sqref="B23"/>
    </sheetView>
  </sheetViews>
  <sheetFormatPr defaultColWidth="9.140625" defaultRowHeight="15" x14ac:dyDescent="0.25"/>
  <cols>
    <col min="1" max="1" width="25.42578125" style="82" bestFit="1" customWidth="1"/>
    <col min="2" max="2" width="10.7109375" style="82" customWidth="1"/>
    <col min="3" max="3" width="11.42578125" style="82" customWidth="1"/>
    <col min="4" max="4" width="14.42578125" style="82" bestFit="1" customWidth="1"/>
    <col min="5" max="5" width="8.7109375" style="82" bestFit="1" customWidth="1"/>
    <col min="6" max="6" width="16.28515625" style="82" bestFit="1" customWidth="1"/>
    <col min="7" max="7" width="23" style="82" customWidth="1"/>
    <col min="8" max="16384" width="9.140625" style="82"/>
  </cols>
  <sheetData>
    <row r="1" spans="1:7" ht="23.25" customHeight="1" x14ac:dyDescent="0.25">
      <c r="A1" s="376" t="s">
        <v>0</v>
      </c>
      <c r="B1" s="377"/>
      <c r="C1" s="377"/>
      <c r="D1" s="377"/>
      <c r="E1" s="377"/>
      <c r="F1" s="377"/>
      <c r="G1" s="377"/>
    </row>
    <row r="2" spans="1:7" ht="15" customHeight="1" thickBot="1" x14ac:dyDescent="0.3">
      <c r="A2" s="318" t="str">
        <f>"Production Output ("&amp;TEXT('Fan Lathe'!AM3,"mmmm yyyy")&amp;")"</f>
        <v>Production Output (January 2026)</v>
      </c>
      <c r="B2" s="319"/>
      <c r="C2" s="319"/>
      <c r="D2" s="319"/>
      <c r="E2" s="319"/>
      <c r="F2" s="319"/>
      <c r="G2" s="378"/>
    </row>
    <row r="3" spans="1:7" ht="14.25" customHeight="1" x14ac:dyDescent="0.25">
      <c r="A3" s="379" t="s">
        <v>53</v>
      </c>
      <c r="B3" s="381" t="s">
        <v>54</v>
      </c>
      <c r="C3" s="381" t="s">
        <v>62</v>
      </c>
      <c r="D3" s="381" t="s">
        <v>55</v>
      </c>
      <c r="E3" s="381"/>
      <c r="F3" s="383" t="s">
        <v>56</v>
      </c>
      <c r="G3" s="385" t="s">
        <v>22</v>
      </c>
    </row>
    <row r="4" spans="1:7" s="83" customFormat="1" ht="27.75" customHeight="1" thickBot="1" x14ac:dyDescent="0.3">
      <c r="A4" s="380"/>
      <c r="B4" s="382"/>
      <c r="C4" s="382"/>
      <c r="D4" s="105" t="s">
        <v>57</v>
      </c>
      <c r="E4" s="105" t="s">
        <v>6</v>
      </c>
      <c r="F4" s="384"/>
      <c r="G4" s="386"/>
    </row>
    <row r="5" spans="1:7" s="83" customFormat="1" x14ac:dyDescent="0.25">
      <c r="A5" s="99" t="s">
        <v>68</v>
      </c>
      <c r="B5" s="86">
        <f>'Fan Auto Die Casting'!J68</f>
        <v>38450</v>
      </c>
      <c r="C5" s="86" cm="1">
        <f t="array" ref="C5:E5">'Fan Auto Die Casting'!E68:G68</f>
        <v>185600</v>
      </c>
      <c r="D5" s="86">
        <v>85590</v>
      </c>
      <c r="E5" s="87">
        <v>700</v>
      </c>
      <c r="F5" s="103">
        <f t="shared" ref="F5" si="0">IFERROR(D5/C5,"")</f>
        <v>0.4611530172413793</v>
      </c>
      <c r="G5" s="88"/>
    </row>
    <row r="6" spans="1:7" s="83" customFormat="1" ht="14.25" customHeight="1" x14ac:dyDescent="0.25">
      <c r="A6" s="100" t="s">
        <v>63</v>
      </c>
      <c r="B6" s="89">
        <f>'Fan Power Press &amp; Stamping'!J162</f>
        <v>54923</v>
      </c>
      <c r="C6" s="89" cm="1">
        <f t="array" ref="C6:E6">'Fan Power Press &amp; Stamping'!E162:G162</f>
        <v>342100</v>
      </c>
      <c r="D6" s="89">
        <v>169367</v>
      </c>
      <c r="E6" s="90">
        <v>218</v>
      </c>
      <c r="F6" s="103">
        <f t="shared" ref="F6:F8" si="1">IFERROR(D6/C6,"")</f>
        <v>0.49508038585209002</v>
      </c>
      <c r="G6" s="91"/>
    </row>
    <row r="7" spans="1:7" s="83" customFormat="1" x14ac:dyDescent="0.25">
      <c r="A7" s="100" t="s">
        <v>64</v>
      </c>
      <c r="B7" s="89">
        <f>'Auto Powder Coating'!J130</f>
        <v>17904</v>
      </c>
      <c r="C7" s="89" cm="1">
        <f t="array" ref="C7:E7">'Auto Powder Coating'!E130:G130</f>
        <v>306960</v>
      </c>
      <c r="D7" s="89">
        <v>162925</v>
      </c>
      <c r="E7" s="90">
        <v>521</v>
      </c>
      <c r="F7" s="103">
        <f t="shared" si="1"/>
        <v>0.53076948136565028</v>
      </c>
      <c r="G7" s="91"/>
    </row>
    <row r="8" spans="1:7" s="83" customFormat="1" x14ac:dyDescent="0.25">
      <c r="A8" s="101" t="s">
        <v>69</v>
      </c>
      <c r="B8" s="86">
        <f>'Fan Lathe'!J99</f>
        <v>30099</v>
      </c>
      <c r="C8" s="86" cm="1">
        <f t="array" ref="C8:E8">'Fan Lathe'!E99:G99</f>
        <v>214850</v>
      </c>
      <c r="D8" s="86">
        <v>119580</v>
      </c>
      <c r="E8" s="87">
        <v>391</v>
      </c>
      <c r="F8" s="103">
        <f t="shared" si="1"/>
        <v>0.55657435420060508</v>
      </c>
      <c r="G8" s="88"/>
    </row>
    <row r="9" spans="1:7" s="83" customFormat="1" x14ac:dyDescent="0.25">
      <c r="A9" s="101" t="s">
        <v>58</v>
      </c>
      <c r="B9" s="86">
        <f>'Fan Assemble'!J37</f>
        <v>16830</v>
      </c>
      <c r="C9" s="86" cm="1">
        <f t="array" ref="C9:E9">'Fan Assemble'!E37:G37</f>
        <v>35200</v>
      </c>
      <c r="D9" s="86">
        <v>35200</v>
      </c>
      <c r="E9" s="87">
        <v>985.9</v>
      </c>
      <c r="F9" s="103">
        <f>IFERROR(D9/C9,"")</f>
        <v>1</v>
      </c>
      <c r="G9" s="88"/>
    </row>
    <row r="10" spans="1:7" s="84" customFormat="1" ht="15.75" x14ac:dyDescent="0.25">
      <c r="A10" s="102" t="s">
        <v>59</v>
      </c>
      <c r="B10" s="92">
        <f>'Fan Armature'!J37</f>
        <v>16830</v>
      </c>
      <c r="C10" s="93" cm="1">
        <f t="array" ref="C10:E10">'Fan Armature'!E37:G37</f>
        <v>36297</v>
      </c>
      <c r="D10" s="86">
        <v>35862</v>
      </c>
      <c r="E10" s="92">
        <v>0</v>
      </c>
      <c r="F10" s="104">
        <f>IFERROR(D10/C10,"")</f>
        <v>0.98801553847425405</v>
      </c>
      <c r="G10" s="94"/>
    </row>
    <row r="11" spans="1:7" s="83" customFormat="1" x14ac:dyDescent="0.25">
      <c r="A11" s="101" t="s">
        <v>60</v>
      </c>
      <c r="B11" s="86">
        <f>'Fan Rechargeable'!J37</f>
        <v>14400</v>
      </c>
      <c r="C11" s="86" cm="1">
        <f t="array" ref="C11:E11">'Fan Rechargeable'!E37:G37</f>
        <v>1500</v>
      </c>
      <c r="D11" s="86">
        <v>1500</v>
      </c>
      <c r="E11" s="87">
        <v>0</v>
      </c>
      <c r="F11" s="104">
        <f t="shared" ref="F11:F13" si="2">IFERROR(D11/C11,"")</f>
        <v>1</v>
      </c>
      <c r="G11" s="88"/>
    </row>
    <row r="12" spans="1:7" s="83" customFormat="1" ht="15.75" thickBot="1" x14ac:dyDescent="0.3">
      <c r="A12" s="101" t="s">
        <v>61</v>
      </c>
      <c r="B12" s="86">
        <f>'Exhaust Fan'!J37</f>
        <v>2250</v>
      </c>
      <c r="C12" s="86" cm="1">
        <f t="array" ref="C12:E12">'Exhaust Fan'!E37:G37</f>
        <v>1886</v>
      </c>
      <c r="D12" s="86">
        <v>1886</v>
      </c>
      <c r="E12" s="87">
        <v>0</v>
      </c>
      <c r="F12" s="104">
        <f t="shared" si="2"/>
        <v>1</v>
      </c>
      <c r="G12" s="88"/>
    </row>
    <row r="13" spans="1:7" ht="15.75" thickBot="1" x14ac:dyDescent="0.3">
      <c r="A13" s="95" t="s">
        <v>70</v>
      </c>
      <c r="B13" s="96">
        <f t="shared" ref="B13:C13" si="3">SUM(B5:B12)</f>
        <v>191686</v>
      </c>
      <c r="C13" s="96">
        <f t="shared" si="3"/>
        <v>1124393</v>
      </c>
      <c r="D13" s="96">
        <f>SUM(D5:D12)</f>
        <v>611910</v>
      </c>
      <c r="E13" s="96">
        <f>SUM(E5:E12)</f>
        <v>2815.9</v>
      </c>
      <c r="F13" s="97">
        <f t="shared" si="2"/>
        <v>0.54421363348935825</v>
      </c>
      <c r="G13" s="98"/>
    </row>
    <row r="15" spans="1:7" x14ac:dyDescent="0.25">
      <c r="C15" s="85"/>
    </row>
  </sheetData>
  <mergeCells count="8">
    <mergeCell ref="A1:G1"/>
    <mergeCell ref="A2:G2"/>
    <mergeCell ref="A3:A4"/>
    <mergeCell ref="B3:B4"/>
    <mergeCell ref="C3:C4"/>
    <mergeCell ref="D3:E3"/>
    <mergeCell ref="F3:F4"/>
    <mergeCell ref="G3:G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0687A-E942-45F1-878E-91DCD6C35C13}">
  <sheetPr>
    <tabColor rgb="FFFF0000"/>
  </sheetPr>
  <dimension ref="A1:AM41"/>
  <sheetViews>
    <sheetView showGridLines="0" zoomScale="90" zoomScaleNormal="90" workbookViewId="0">
      <pane xSplit="3" ySplit="5" topLeftCell="D27" activePane="bottomRight" state="frozen"/>
      <selection pane="topRight" activeCell="D1" sqref="D1"/>
      <selection pane="bottomLeft" activeCell="A5" sqref="A5"/>
      <selection pane="bottomRight" activeCell="E6" sqref="E6:F36"/>
    </sheetView>
  </sheetViews>
  <sheetFormatPr defaultColWidth="9.140625" defaultRowHeight="12.75" outlineLevelCol="1" x14ac:dyDescent="0.25"/>
  <cols>
    <col min="1" max="1" width="9.140625" style="1" bestFit="1" customWidth="1"/>
    <col min="2" max="2" width="4.85546875" style="1" bestFit="1" customWidth="1"/>
    <col min="3" max="3" width="8.42578125" style="13" bestFit="1" customWidth="1"/>
    <col min="4" max="4" width="12.42578125" style="1" bestFit="1" customWidth="1"/>
    <col min="5" max="8" width="6" style="1" bestFit="1" customWidth="1"/>
    <col min="9" max="9" width="5.28515625" style="1" bestFit="1" customWidth="1"/>
    <col min="10" max="10" width="6" style="1" bestFit="1" customWidth="1"/>
    <col min="11" max="19" width="3.140625" style="1" bestFit="1" customWidth="1" outlineLevel="1"/>
    <col min="20" max="20" width="4" style="1" bestFit="1" customWidth="1" outlineLevel="1"/>
    <col min="21" max="25" width="3.140625" style="1" bestFit="1" customWidth="1" outlineLevel="1"/>
    <col min="26" max="26" width="4" style="1" bestFit="1" customWidth="1" outlineLevel="1"/>
    <col min="27" max="27" width="5.28515625" style="1" bestFit="1" customWidth="1" outlineLevel="1"/>
    <col min="28" max="33" width="3.140625" style="1" bestFit="1" customWidth="1" outlineLevel="1"/>
    <col min="34" max="34" width="5.28515625" style="14" bestFit="1" customWidth="1"/>
    <col min="35" max="37" width="6.140625" style="1" bestFit="1" customWidth="1"/>
    <col min="38" max="38" width="5.140625" style="16" bestFit="1" customWidth="1"/>
    <col min="39" max="39" width="29.140625" style="28" bestFit="1" customWidth="1"/>
    <col min="40" max="16384" width="9.140625" style="1"/>
  </cols>
  <sheetData>
    <row r="1" spans="1:39" ht="25.5" x14ac:dyDescent="0.25">
      <c r="A1" s="316" t="s">
        <v>0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  <c r="AF1" s="317"/>
      <c r="AG1" s="317"/>
      <c r="AH1" s="317"/>
      <c r="AI1" s="317"/>
      <c r="AJ1" s="317"/>
      <c r="AK1" s="317"/>
      <c r="AL1" s="317"/>
      <c r="AM1" s="317"/>
    </row>
    <row r="2" spans="1:39" x14ac:dyDescent="0.25">
      <c r="A2" s="318" t="s">
        <v>1</v>
      </c>
      <c r="B2" s="319"/>
      <c r="C2" s="319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  <c r="AA2" s="319"/>
      <c r="AB2" s="319"/>
      <c r="AC2" s="319"/>
      <c r="AD2" s="319"/>
      <c r="AE2" s="319"/>
      <c r="AF2" s="319"/>
      <c r="AG2" s="319"/>
      <c r="AH2" s="319"/>
      <c r="AI2" s="319"/>
      <c r="AJ2" s="319"/>
      <c r="AK2" s="319"/>
      <c r="AL2" s="319"/>
      <c r="AM2" s="319"/>
    </row>
    <row r="3" spans="1:39" ht="13.5" thickBot="1" x14ac:dyDescent="0.3">
      <c r="A3" s="390" t="str">
        <f>"Fan Assemble Section ("&amp;TEXT('Fan Lathe'!AM3,"mmmm yyyy")&amp;")"</f>
        <v>Fan Assemble Section (January 2026)</v>
      </c>
      <c r="B3" s="391"/>
      <c r="C3" s="391"/>
      <c r="D3" s="391"/>
      <c r="E3" s="391"/>
      <c r="F3" s="391"/>
      <c r="G3" s="391"/>
      <c r="H3" s="391"/>
      <c r="I3" s="391"/>
      <c r="J3" s="391"/>
      <c r="K3" s="391"/>
      <c r="L3" s="391"/>
      <c r="M3" s="391"/>
      <c r="N3" s="391"/>
      <c r="O3" s="391"/>
      <c r="P3" s="391"/>
      <c r="Q3" s="391"/>
      <c r="R3" s="391"/>
      <c r="S3" s="391"/>
      <c r="T3" s="391"/>
      <c r="U3" s="391"/>
      <c r="V3" s="391"/>
      <c r="W3" s="391"/>
      <c r="X3" s="391"/>
      <c r="Y3" s="391"/>
      <c r="Z3" s="391"/>
      <c r="AA3" s="391"/>
      <c r="AB3" s="391"/>
      <c r="AC3" s="391"/>
      <c r="AD3" s="391"/>
      <c r="AE3" s="391"/>
      <c r="AF3" s="391"/>
      <c r="AG3" s="391"/>
      <c r="AH3" s="391"/>
      <c r="AI3" s="391"/>
      <c r="AJ3" s="391"/>
      <c r="AK3" s="391"/>
      <c r="AL3" s="392"/>
      <c r="AM3" s="216">
        <f>'Fan Lathe'!AM3</f>
        <v>46023</v>
      </c>
    </row>
    <row r="4" spans="1:39" ht="13.5" hidden="1" thickBot="1" x14ac:dyDescent="0.3">
      <c r="A4" s="387"/>
      <c r="B4" s="388"/>
      <c r="C4" s="388"/>
      <c r="D4" s="388"/>
      <c r="E4" s="388"/>
      <c r="F4" s="388"/>
      <c r="G4" s="388"/>
      <c r="H4" s="388"/>
      <c r="I4" s="388"/>
      <c r="J4" s="389"/>
      <c r="K4" s="4">
        <v>10</v>
      </c>
      <c r="L4" s="4">
        <v>11</v>
      </c>
      <c r="M4" s="4">
        <v>12</v>
      </c>
      <c r="N4" s="4">
        <v>13</v>
      </c>
      <c r="O4" s="4">
        <v>14</v>
      </c>
      <c r="P4" s="4">
        <v>15</v>
      </c>
      <c r="Q4" s="4">
        <v>16</v>
      </c>
      <c r="R4" s="4">
        <v>17</v>
      </c>
      <c r="S4" s="4">
        <v>18</v>
      </c>
      <c r="T4" s="4">
        <v>19</v>
      </c>
      <c r="U4" s="4">
        <v>20</v>
      </c>
      <c r="V4" s="4">
        <v>21</v>
      </c>
      <c r="W4" s="4">
        <v>22</v>
      </c>
      <c r="X4" s="4">
        <v>23</v>
      </c>
      <c r="Y4" s="4">
        <v>24</v>
      </c>
      <c r="Z4" s="4">
        <v>25</v>
      </c>
      <c r="AA4" s="4">
        <v>26</v>
      </c>
      <c r="AB4" s="4">
        <v>27</v>
      </c>
      <c r="AC4" s="4">
        <v>28</v>
      </c>
      <c r="AD4" s="4">
        <v>29</v>
      </c>
      <c r="AE4" s="4">
        <v>30</v>
      </c>
      <c r="AF4" s="4">
        <v>31</v>
      </c>
      <c r="AG4" s="4">
        <v>32</v>
      </c>
      <c r="AH4" s="387"/>
      <c r="AI4" s="388"/>
      <c r="AJ4" s="388"/>
      <c r="AK4" s="388"/>
      <c r="AL4" s="388"/>
      <c r="AM4" s="389"/>
    </row>
    <row r="5" spans="1:39" s="5" customFormat="1" ht="110.25" customHeight="1" x14ac:dyDescent="0.25">
      <c r="A5" s="73" t="s">
        <v>2</v>
      </c>
      <c r="B5" s="74" t="s">
        <v>3</v>
      </c>
      <c r="C5" s="74" t="s">
        <v>4</v>
      </c>
      <c r="D5" s="74" t="s">
        <v>5</v>
      </c>
      <c r="E5" s="74" t="s">
        <v>35</v>
      </c>
      <c r="F5" s="74" t="s">
        <v>41</v>
      </c>
      <c r="G5" s="74" t="s">
        <v>6</v>
      </c>
      <c r="H5" s="74" t="s">
        <v>26</v>
      </c>
      <c r="I5" s="74" t="s">
        <v>42</v>
      </c>
      <c r="J5" s="75" t="s">
        <v>43</v>
      </c>
      <c r="K5" s="76" t="s">
        <v>28</v>
      </c>
      <c r="L5" s="30" t="s">
        <v>29</v>
      </c>
      <c r="M5" s="30" t="s">
        <v>27</v>
      </c>
      <c r="N5" s="30" t="s">
        <v>8</v>
      </c>
      <c r="O5" s="30" t="s">
        <v>38</v>
      </c>
      <c r="P5" s="30" t="s">
        <v>9</v>
      </c>
      <c r="Q5" s="30" t="s">
        <v>10</v>
      </c>
      <c r="R5" s="30" t="s">
        <v>11</v>
      </c>
      <c r="S5" s="30" t="s">
        <v>12</v>
      </c>
      <c r="T5" s="30" t="s">
        <v>13</v>
      </c>
      <c r="U5" s="30" t="s">
        <v>14</v>
      </c>
      <c r="V5" s="30" t="s">
        <v>30</v>
      </c>
      <c r="W5" s="30" t="s">
        <v>44</v>
      </c>
      <c r="X5" s="30" t="s">
        <v>25</v>
      </c>
      <c r="Y5" s="30" t="s">
        <v>31</v>
      </c>
      <c r="Z5" s="30" t="s">
        <v>32</v>
      </c>
      <c r="AA5" s="30" t="s">
        <v>15</v>
      </c>
      <c r="AB5" s="30" t="s">
        <v>16</v>
      </c>
      <c r="AC5" s="30" t="s">
        <v>33</v>
      </c>
      <c r="AD5" s="30" t="s">
        <v>36</v>
      </c>
      <c r="AE5" s="30" t="s">
        <v>40</v>
      </c>
      <c r="AF5" s="30" t="s">
        <v>37</v>
      </c>
      <c r="AG5" s="167" t="s">
        <v>39</v>
      </c>
      <c r="AH5" s="77" t="s">
        <v>17</v>
      </c>
      <c r="AI5" s="74" t="s">
        <v>18</v>
      </c>
      <c r="AJ5" s="74" t="s">
        <v>19</v>
      </c>
      <c r="AK5" s="74" t="s">
        <v>20</v>
      </c>
      <c r="AL5" s="78" t="s">
        <v>21</v>
      </c>
      <c r="AM5" s="79" t="s">
        <v>22</v>
      </c>
    </row>
    <row r="6" spans="1:39" s="7" customFormat="1" ht="12.75" customHeight="1" x14ac:dyDescent="0.2">
      <c r="A6" s="44">
        <f>AM3</f>
        <v>46023</v>
      </c>
      <c r="B6" s="45">
        <f>A6</f>
        <v>46023</v>
      </c>
      <c r="C6" s="46" t="s">
        <v>23</v>
      </c>
      <c r="D6" s="9" t="s">
        <v>24</v>
      </c>
      <c r="E6" s="10">
        <v>1225</v>
      </c>
      <c r="F6" s="34">
        <v>1225</v>
      </c>
      <c r="G6" s="34">
        <v>85</v>
      </c>
      <c r="H6" s="11">
        <v>660</v>
      </c>
      <c r="I6" s="47">
        <f t="shared" ref="I6:I20" si="0">IF(E6&lt;&gt;"",30,0)</f>
        <v>30</v>
      </c>
      <c r="J6" s="48">
        <f t="shared" ref="J6:J36" si="1">H6-AH6</f>
        <v>630</v>
      </c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>
        <f t="shared" ref="Z6:Z36" si="2">IF(E6&lt;&gt;"",30,0)</f>
        <v>30</v>
      </c>
      <c r="AA6" s="21"/>
      <c r="AB6" s="21"/>
      <c r="AC6" s="21"/>
      <c r="AD6" s="21"/>
      <c r="AE6" s="21"/>
      <c r="AF6" s="21"/>
      <c r="AG6" s="21"/>
      <c r="AH6" s="49">
        <f>SUM(K6:AG6)</f>
        <v>30</v>
      </c>
      <c r="AI6" s="6">
        <f t="shared" ref="AI6:AI36" si="3">IFERROR(J6/H6,"0")</f>
        <v>0.95454545454545459</v>
      </c>
      <c r="AJ6" s="6">
        <f t="shared" ref="AJ6:AJ36" si="4">IFERROR(F6/E6,"0")</f>
        <v>1</v>
      </c>
      <c r="AK6" s="6">
        <f t="shared" ref="AK6:AK36" si="5">IFERROR(F6/(F6+G6),"0")</f>
        <v>0.93511450381679384</v>
      </c>
      <c r="AL6" s="6">
        <f>IFERROR(AK6*AJ6*AI6,"0")</f>
        <v>0.8926092990978487</v>
      </c>
      <c r="AM6" s="260"/>
    </row>
    <row r="7" spans="1:39" s="7" customFormat="1" x14ac:dyDescent="0.25">
      <c r="A7" s="44">
        <f>A6+1</f>
        <v>46024</v>
      </c>
      <c r="B7" s="45">
        <f t="shared" ref="B7:B36" si="6">A7</f>
        <v>46024</v>
      </c>
      <c r="C7" s="46" t="s">
        <v>23</v>
      </c>
      <c r="D7" s="9" t="s">
        <v>24</v>
      </c>
      <c r="E7" s="10">
        <v>1000</v>
      </c>
      <c r="F7" s="34">
        <v>1000</v>
      </c>
      <c r="G7" s="34">
        <v>50</v>
      </c>
      <c r="H7" s="11">
        <v>480</v>
      </c>
      <c r="I7" s="11">
        <f t="shared" si="0"/>
        <v>30</v>
      </c>
      <c r="J7" s="48">
        <f t="shared" si="1"/>
        <v>450</v>
      </c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>
        <f t="shared" si="2"/>
        <v>30</v>
      </c>
      <c r="AA7" s="21"/>
      <c r="AB7" s="21"/>
      <c r="AC7" s="21"/>
      <c r="AD7" s="21"/>
      <c r="AE7" s="21"/>
      <c r="AF7" s="21"/>
      <c r="AG7" s="21"/>
      <c r="AH7" s="49">
        <f>SUM(K7:AG7)</f>
        <v>30</v>
      </c>
      <c r="AI7" s="6">
        <f t="shared" si="3"/>
        <v>0.9375</v>
      </c>
      <c r="AJ7" s="6">
        <f t="shared" si="4"/>
        <v>1</v>
      </c>
      <c r="AK7" s="6">
        <f t="shared" si="5"/>
        <v>0.95238095238095233</v>
      </c>
      <c r="AL7" s="6">
        <f>IFERROR(AK7*AJ7*AI7,"0")</f>
        <v>0.89285714285714279</v>
      </c>
      <c r="AM7" s="260"/>
    </row>
    <row r="8" spans="1:39" s="7" customFormat="1" x14ac:dyDescent="0.25">
      <c r="A8" s="44">
        <f t="shared" ref="A8:A36" si="7">A7+1</f>
        <v>46025</v>
      </c>
      <c r="B8" s="45">
        <f t="shared" si="6"/>
        <v>46025</v>
      </c>
      <c r="C8" s="46" t="s">
        <v>23</v>
      </c>
      <c r="D8" s="9" t="s">
        <v>24</v>
      </c>
      <c r="E8" s="10">
        <v>1346</v>
      </c>
      <c r="F8" s="34">
        <f>1231+115</f>
        <v>1346</v>
      </c>
      <c r="G8" s="34">
        <v>55</v>
      </c>
      <c r="H8" s="11">
        <v>660</v>
      </c>
      <c r="I8" s="11">
        <f t="shared" si="0"/>
        <v>30</v>
      </c>
      <c r="J8" s="48">
        <f t="shared" si="1"/>
        <v>630</v>
      </c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>
        <f t="shared" si="2"/>
        <v>30</v>
      </c>
      <c r="AA8" s="21"/>
      <c r="AB8" s="21"/>
      <c r="AC8" s="21"/>
      <c r="AD8" s="21"/>
      <c r="AE8" s="21"/>
      <c r="AF8" s="21"/>
      <c r="AG8" s="21"/>
      <c r="AH8" s="49">
        <f t="shared" ref="AH8:AH36" si="8">SUM(K8:AG8)</f>
        <v>30</v>
      </c>
      <c r="AI8" s="6">
        <f t="shared" si="3"/>
        <v>0.95454545454545459</v>
      </c>
      <c r="AJ8" s="6">
        <f t="shared" si="4"/>
        <v>1</v>
      </c>
      <c r="AK8" s="6">
        <f t="shared" si="5"/>
        <v>0.96074232690935046</v>
      </c>
      <c r="AL8" s="6">
        <f t="shared" ref="AL8:AL36" si="9">IFERROR(AK8*AJ8*AI8,"0")</f>
        <v>0.91707222114074372</v>
      </c>
      <c r="AM8" s="260"/>
    </row>
    <row r="9" spans="1:39" s="7" customFormat="1" x14ac:dyDescent="0.25">
      <c r="A9" s="44">
        <f t="shared" si="7"/>
        <v>46026</v>
      </c>
      <c r="B9" s="45">
        <f t="shared" si="6"/>
        <v>46026</v>
      </c>
      <c r="C9" s="46" t="s">
        <v>23</v>
      </c>
      <c r="D9" s="9" t="s">
        <v>24</v>
      </c>
      <c r="E9" s="10">
        <v>1346</v>
      </c>
      <c r="F9" s="34">
        <f t="shared" ref="F9:F19" si="10">1231+115</f>
        <v>1346</v>
      </c>
      <c r="G9" s="34">
        <v>44</v>
      </c>
      <c r="H9" s="11">
        <v>660</v>
      </c>
      <c r="I9" s="11">
        <f t="shared" si="0"/>
        <v>30</v>
      </c>
      <c r="J9" s="48">
        <f t="shared" si="1"/>
        <v>630</v>
      </c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>
        <f t="shared" si="2"/>
        <v>30</v>
      </c>
      <c r="AA9" s="21"/>
      <c r="AB9" s="21"/>
      <c r="AC9" s="21"/>
      <c r="AD9" s="21"/>
      <c r="AE9" s="21"/>
      <c r="AF9" s="21"/>
      <c r="AG9" s="21"/>
      <c r="AH9" s="49">
        <f t="shared" si="8"/>
        <v>30</v>
      </c>
      <c r="AI9" s="6">
        <f t="shared" si="3"/>
        <v>0.95454545454545459</v>
      </c>
      <c r="AJ9" s="6">
        <f t="shared" si="4"/>
        <v>1</v>
      </c>
      <c r="AK9" s="6">
        <f t="shared" si="5"/>
        <v>0.96834532374100724</v>
      </c>
      <c r="AL9" s="6">
        <f t="shared" si="9"/>
        <v>0.92432962720732514</v>
      </c>
      <c r="AM9" s="260"/>
    </row>
    <row r="10" spans="1:39" s="7" customFormat="1" x14ac:dyDescent="0.25">
      <c r="A10" s="44">
        <f t="shared" si="7"/>
        <v>46027</v>
      </c>
      <c r="B10" s="45">
        <f t="shared" si="6"/>
        <v>46027</v>
      </c>
      <c r="C10" s="46" t="s">
        <v>23</v>
      </c>
      <c r="D10" s="9" t="s">
        <v>24</v>
      </c>
      <c r="E10" s="10">
        <v>1346</v>
      </c>
      <c r="F10" s="34">
        <f t="shared" si="10"/>
        <v>1346</v>
      </c>
      <c r="G10" s="34">
        <v>58</v>
      </c>
      <c r="H10" s="11">
        <v>660</v>
      </c>
      <c r="I10" s="11">
        <f t="shared" si="0"/>
        <v>30</v>
      </c>
      <c r="J10" s="48">
        <f t="shared" si="1"/>
        <v>630</v>
      </c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>
        <f t="shared" si="2"/>
        <v>30</v>
      </c>
      <c r="AA10" s="21"/>
      <c r="AB10" s="21"/>
      <c r="AC10" s="21"/>
      <c r="AD10" s="21"/>
      <c r="AE10" s="21"/>
      <c r="AF10" s="21"/>
      <c r="AG10" s="21"/>
      <c r="AH10" s="49">
        <f t="shared" si="8"/>
        <v>30</v>
      </c>
      <c r="AI10" s="6">
        <f t="shared" si="3"/>
        <v>0.95454545454545459</v>
      </c>
      <c r="AJ10" s="6">
        <f t="shared" si="4"/>
        <v>1</v>
      </c>
      <c r="AK10" s="6">
        <f t="shared" si="5"/>
        <v>0.95868945868945865</v>
      </c>
      <c r="AL10" s="6">
        <f t="shared" si="9"/>
        <v>0.91511266511266509</v>
      </c>
      <c r="AM10" s="260"/>
    </row>
    <row r="11" spans="1:39" s="7" customFormat="1" ht="28.5" customHeight="1" x14ac:dyDescent="0.2">
      <c r="A11" s="44">
        <f t="shared" si="7"/>
        <v>46028</v>
      </c>
      <c r="B11" s="45">
        <f t="shared" si="6"/>
        <v>46028</v>
      </c>
      <c r="C11" s="46" t="s">
        <v>23</v>
      </c>
      <c r="D11" s="9" t="s">
        <v>24</v>
      </c>
      <c r="E11" s="10">
        <v>1346</v>
      </c>
      <c r="F11" s="34">
        <f t="shared" si="10"/>
        <v>1346</v>
      </c>
      <c r="G11" s="34">
        <v>54.9</v>
      </c>
      <c r="H11" s="11">
        <v>660</v>
      </c>
      <c r="I11" s="47">
        <f t="shared" si="0"/>
        <v>30</v>
      </c>
      <c r="J11" s="48">
        <f t="shared" si="1"/>
        <v>630</v>
      </c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>
        <f t="shared" si="2"/>
        <v>30</v>
      </c>
      <c r="AA11" s="21"/>
      <c r="AB11" s="21"/>
      <c r="AC11" s="21"/>
      <c r="AD11" s="21"/>
      <c r="AE11" s="21"/>
      <c r="AF11" s="21"/>
      <c r="AG11" s="21"/>
      <c r="AH11" s="49">
        <f t="shared" si="8"/>
        <v>30</v>
      </c>
      <c r="AI11" s="6">
        <f t="shared" si="3"/>
        <v>0.95454545454545459</v>
      </c>
      <c r="AJ11" s="6">
        <f t="shared" si="4"/>
        <v>1</v>
      </c>
      <c r="AK11" s="6">
        <f t="shared" si="5"/>
        <v>0.96081090727389529</v>
      </c>
      <c r="AL11" s="6">
        <f t="shared" si="9"/>
        <v>0.91713768421599096</v>
      </c>
      <c r="AM11" s="260"/>
    </row>
    <row r="12" spans="1:39" s="7" customFormat="1" x14ac:dyDescent="0.25">
      <c r="A12" s="44">
        <f t="shared" si="7"/>
        <v>46029</v>
      </c>
      <c r="B12" s="45">
        <f t="shared" si="6"/>
        <v>46029</v>
      </c>
      <c r="C12" s="46" t="s">
        <v>23</v>
      </c>
      <c r="D12" s="9" t="s">
        <v>24</v>
      </c>
      <c r="E12" s="10">
        <v>1346</v>
      </c>
      <c r="F12" s="34">
        <f t="shared" si="10"/>
        <v>1346</v>
      </c>
      <c r="G12" s="34">
        <v>51.8</v>
      </c>
      <c r="H12" s="11">
        <v>660</v>
      </c>
      <c r="I12" s="11">
        <f t="shared" si="0"/>
        <v>30</v>
      </c>
      <c r="J12" s="48">
        <f t="shared" si="1"/>
        <v>630</v>
      </c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>
        <f t="shared" si="2"/>
        <v>30</v>
      </c>
      <c r="AA12" s="21"/>
      <c r="AB12" s="21"/>
      <c r="AC12" s="21"/>
      <c r="AD12" s="21"/>
      <c r="AE12" s="21"/>
      <c r="AF12" s="21"/>
      <c r="AG12" s="21"/>
      <c r="AH12" s="49">
        <f t="shared" si="8"/>
        <v>30</v>
      </c>
      <c r="AI12" s="6">
        <f t="shared" si="3"/>
        <v>0.95454545454545459</v>
      </c>
      <c r="AJ12" s="6">
        <f t="shared" si="4"/>
        <v>1</v>
      </c>
      <c r="AK12" s="6">
        <f t="shared" si="5"/>
        <v>0.96294176563170697</v>
      </c>
      <c r="AL12" s="6">
        <f t="shared" si="9"/>
        <v>0.91917168537572036</v>
      </c>
      <c r="AM12" s="260"/>
    </row>
    <row r="13" spans="1:39" s="7" customFormat="1" x14ac:dyDescent="0.25">
      <c r="A13" s="44">
        <f t="shared" si="7"/>
        <v>46030</v>
      </c>
      <c r="B13" s="45">
        <f t="shared" si="6"/>
        <v>46030</v>
      </c>
      <c r="C13" s="46" t="s">
        <v>23</v>
      </c>
      <c r="D13" s="9" t="s">
        <v>24</v>
      </c>
      <c r="E13" s="10">
        <v>1346</v>
      </c>
      <c r="F13" s="34">
        <f t="shared" si="10"/>
        <v>1346</v>
      </c>
      <c r="G13" s="34">
        <v>48.7</v>
      </c>
      <c r="H13" s="11">
        <v>660</v>
      </c>
      <c r="I13" s="11">
        <f t="shared" si="0"/>
        <v>30</v>
      </c>
      <c r="J13" s="48">
        <f t="shared" si="1"/>
        <v>630</v>
      </c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>
        <f t="shared" si="2"/>
        <v>30</v>
      </c>
      <c r="AA13" s="21"/>
      <c r="AB13" s="21"/>
      <c r="AC13" s="21"/>
      <c r="AD13" s="21"/>
      <c r="AE13" s="21"/>
      <c r="AF13" s="21"/>
      <c r="AG13" s="21"/>
      <c r="AH13" s="49">
        <f t="shared" si="8"/>
        <v>30</v>
      </c>
      <c r="AI13" s="6">
        <f t="shared" si="3"/>
        <v>0.95454545454545459</v>
      </c>
      <c r="AJ13" s="6">
        <f t="shared" si="4"/>
        <v>1</v>
      </c>
      <c r="AK13" s="6">
        <f t="shared" si="5"/>
        <v>0.96508209650820964</v>
      </c>
      <c r="AL13" s="6">
        <f t="shared" si="9"/>
        <v>0.92121472848510921</v>
      </c>
      <c r="AM13" s="260"/>
    </row>
    <row r="14" spans="1:39" s="7" customFormat="1" x14ac:dyDescent="0.25">
      <c r="A14" s="44">
        <f t="shared" si="7"/>
        <v>46031</v>
      </c>
      <c r="B14" s="45">
        <f t="shared" si="6"/>
        <v>46031</v>
      </c>
      <c r="C14" s="46" t="s">
        <v>23</v>
      </c>
      <c r="D14" s="9" t="s">
        <v>24</v>
      </c>
      <c r="E14" s="10"/>
      <c r="F14" s="34"/>
      <c r="G14" s="34"/>
      <c r="H14" s="11"/>
      <c r="I14" s="11">
        <f t="shared" si="0"/>
        <v>0</v>
      </c>
      <c r="J14" s="48">
        <f t="shared" si="1"/>
        <v>0</v>
      </c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>
        <f t="shared" si="2"/>
        <v>0</v>
      </c>
      <c r="AA14" s="21"/>
      <c r="AB14" s="21"/>
      <c r="AC14" s="21"/>
      <c r="AD14" s="21"/>
      <c r="AE14" s="21"/>
      <c r="AF14" s="21"/>
      <c r="AG14" s="21"/>
      <c r="AH14" s="49">
        <f t="shared" si="8"/>
        <v>0</v>
      </c>
      <c r="AI14" s="6" t="str">
        <f t="shared" si="3"/>
        <v>0</v>
      </c>
      <c r="AJ14" s="6" t="str">
        <f t="shared" si="4"/>
        <v>0</v>
      </c>
      <c r="AK14" s="6" t="str">
        <f t="shared" si="5"/>
        <v>0</v>
      </c>
      <c r="AL14" s="6">
        <f t="shared" si="9"/>
        <v>0</v>
      </c>
      <c r="AM14" s="260"/>
    </row>
    <row r="15" spans="1:39" s="7" customFormat="1" x14ac:dyDescent="0.25">
      <c r="A15" s="44">
        <f t="shared" si="7"/>
        <v>46032</v>
      </c>
      <c r="B15" s="45">
        <f t="shared" si="6"/>
        <v>46032</v>
      </c>
      <c r="C15" s="46" t="s">
        <v>23</v>
      </c>
      <c r="D15" s="9" t="s">
        <v>24</v>
      </c>
      <c r="E15" s="10">
        <v>1346</v>
      </c>
      <c r="F15" s="34">
        <f t="shared" si="10"/>
        <v>1346</v>
      </c>
      <c r="G15" s="34">
        <v>42.5</v>
      </c>
      <c r="H15" s="11">
        <v>660</v>
      </c>
      <c r="I15" s="11">
        <f t="shared" si="0"/>
        <v>30</v>
      </c>
      <c r="J15" s="48">
        <f t="shared" si="1"/>
        <v>630</v>
      </c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>
        <f t="shared" si="2"/>
        <v>30</v>
      </c>
      <c r="AA15" s="21"/>
      <c r="AB15" s="21"/>
      <c r="AC15" s="21"/>
      <c r="AD15" s="21"/>
      <c r="AE15" s="21"/>
      <c r="AF15" s="21"/>
      <c r="AG15" s="21"/>
      <c r="AH15" s="49">
        <f t="shared" si="8"/>
        <v>30</v>
      </c>
      <c r="AI15" s="6">
        <f t="shared" si="3"/>
        <v>0.95454545454545459</v>
      </c>
      <c r="AJ15" s="6">
        <f t="shared" si="4"/>
        <v>1</v>
      </c>
      <c r="AK15" s="6">
        <f t="shared" si="5"/>
        <v>0.96939142960028812</v>
      </c>
      <c r="AL15" s="6">
        <f t="shared" si="9"/>
        <v>0.92532818280027507</v>
      </c>
      <c r="AM15" s="260"/>
    </row>
    <row r="16" spans="1:39" s="7" customFormat="1" x14ac:dyDescent="0.25">
      <c r="A16" s="44">
        <f t="shared" si="7"/>
        <v>46033</v>
      </c>
      <c r="B16" s="45">
        <f t="shared" si="6"/>
        <v>46033</v>
      </c>
      <c r="C16" s="46" t="s">
        <v>23</v>
      </c>
      <c r="D16" s="9" t="s">
        <v>24</v>
      </c>
      <c r="E16" s="10">
        <v>1346</v>
      </c>
      <c r="F16" s="34">
        <f t="shared" si="10"/>
        <v>1346</v>
      </c>
      <c r="G16" s="34">
        <v>39.4</v>
      </c>
      <c r="H16" s="11">
        <v>660</v>
      </c>
      <c r="I16" s="11">
        <f t="shared" si="0"/>
        <v>30</v>
      </c>
      <c r="J16" s="48">
        <f t="shared" si="1"/>
        <v>630</v>
      </c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>
        <f t="shared" si="2"/>
        <v>30</v>
      </c>
      <c r="AA16" s="21"/>
      <c r="AB16" s="21"/>
      <c r="AC16" s="21"/>
      <c r="AD16" s="21"/>
      <c r="AE16" s="21"/>
      <c r="AF16" s="21"/>
      <c r="AG16" s="21"/>
      <c r="AH16" s="49">
        <f t="shared" si="8"/>
        <v>30</v>
      </c>
      <c r="AI16" s="6">
        <f t="shared" si="3"/>
        <v>0.95454545454545459</v>
      </c>
      <c r="AJ16" s="6">
        <f t="shared" si="4"/>
        <v>1</v>
      </c>
      <c r="AK16" s="6">
        <f t="shared" si="5"/>
        <v>0.97156056012703906</v>
      </c>
      <c r="AL16" s="6">
        <f t="shared" si="9"/>
        <v>0.92739871648490091</v>
      </c>
      <c r="AM16" s="260"/>
    </row>
    <row r="17" spans="1:39" s="7" customFormat="1" x14ac:dyDescent="0.25">
      <c r="A17" s="44">
        <f t="shared" si="7"/>
        <v>46034</v>
      </c>
      <c r="B17" s="45">
        <f t="shared" si="6"/>
        <v>46034</v>
      </c>
      <c r="C17" s="46" t="s">
        <v>23</v>
      </c>
      <c r="D17" s="9" t="s">
        <v>24</v>
      </c>
      <c r="E17" s="10">
        <v>1346</v>
      </c>
      <c r="F17" s="34">
        <f t="shared" si="10"/>
        <v>1346</v>
      </c>
      <c r="G17" s="34">
        <v>36.299999999999997</v>
      </c>
      <c r="H17" s="11">
        <v>660</v>
      </c>
      <c r="I17" s="11">
        <f t="shared" si="0"/>
        <v>30</v>
      </c>
      <c r="J17" s="48">
        <f t="shared" si="1"/>
        <v>630</v>
      </c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>
        <f t="shared" si="2"/>
        <v>30</v>
      </c>
      <c r="AA17" s="21"/>
      <c r="AB17" s="21"/>
      <c r="AC17" s="21"/>
      <c r="AD17" s="21"/>
      <c r="AE17" s="21"/>
      <c r="AF17" s="21"/>
      <c r="AG17" s="21"/>
      <c r="AH17" s="49">
        <f t="shared" si="8"/>
        <v>30</v>
      </c>
      <c r="AI17" s="6">
        <f t="shared" si="3"/>
        <v>0.95454545454545459</v>
      </c>
      <c r="AJ17" s="6">
        <f t="shared" si="4"/>
        <v>1</v>
      </c>
      <c r="AK17" s="6">
        <f t="shared" si="5"/>
        <v>0.97373941980756717</v>
      </c>
      <c r="AL17" s="6">
        <f t="shared" si="9"/>
        <v>0.92947853708904138</v>
      </c>
      <c r="AM17" s="260"/>
    </row>
    <row r="18" spans="1:39" s="7" customFormat="1" x14ac:dyDescent="0.25">
      <c r="A18" s="44">
        <f t="shared" si="7"/>
        <v>46035</v>
      </c>
      <c r="B18" s="45">
        <f t="shared" si="6"/>
        <v>46035</v>
      </c>
      <c r="C18" s="46" t="s">
        <v>23</v>
      </c>
      <c r="D18" s="9" t="s">
        <v>24</v>
      </c>
      <c r="E18" s="10">
        <v>1346</v>
      </c>
      <c r="F18" s="34">
        <f t="shared" si="10"/>
        <v>1346</v>
      </c>
      <c r="G18" s="34">
        <v>33.200000000000003</v>
      </c>
      <c r="H18" s="11">
        <v>660</v>
      </c>
      <c r="I18" s="11">
        <f t="shared" si="0"/>
        <v>30</v>
      </c>
      <c r="J18" s="48">
        <f t="shared" si="1"/>
        <v>630</v>
      </c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>
        <f t="shared" si="2"/>
        <v>30</v>
      </c>
      <c r="AA18" s="21"/>
      <c r="AB18" s="21"/>
      <c r="AC18" s="21"/>
      <c r="AD18" s="21"/>
      <c r="AE18" s="21"/>
      <c r="AF18" s="21"/>
      <c r="AG18" s="21"/>
      <c r="AH18" s="49">
        <f t="shared" si="8"/>
        <v>30</v>
      </c>
      <c r="AI18" s="6">
        <f t="shared" si="3"/>
        <v>0.95454545454545459</v>
      </c>
      <c r="AJ18" s="6">
        <f t="shared" si="4"/>
        <v>1</v>
      </c>
      <c r="AK18" s="6">
        <f t="shared" si="5"/>
        <v>0.97592807424593964</v>
      </c>
      <c r="AL18" s="6">
        <f t="shared" si="9"/>
        <v>0.93156770723476057</v>
      </c>
      <c r="AM18" s="260"/>
    </row>
    <row r="19" spans="1:39" s="7" customFormat="1" x14ac:dyDescent="0.25">
      <c r="A19" s="44">
        <f t="shared" si="7"/>
        <v>46036</v>
      </c>
      <c r="B19" s="45">
        <f t="shared" si="6"/>
        <v>46036</v>
      </c>
      <c r="C19" s="46" t="s">
        <v>23</v>
      </c>
      <c r="D19" s="9" t="s">
        <v>24</v>
      </c>
      <c r="E19" s="10">
        <v>1346</v>
      </c>
      <c r="F19" s="34">
        <f t="shared" si="10"/>
        <v>1346</v>
      </c>
      <c r="G19" s="34">
        <v>30.1</v>
      </c>
      <c r="H19" s="11">
        <v>660</v>
      </c>
      <c r="I19" s="11">
        <f t="shared" si="0"/>
        <v>30</v>
      </c>
      <c r="J19" s="48">
        <f t="shared" si="1"/>
        <v>630</v>
      </c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>
        <f t="shared" si="2"/>
        <v>30</v>
      </c>
      <c r="AA19" s="21"/>
      <c r="AB19" s="21"/>
      <c r="AC19" s="21"/>
      <c r="AD19" s="21"/>
      <c r="AE19" s="21"/>
      <c r="AF19" s="21"/>
      <c r="AG19" s="21"/>
      <c r="AH19" s="49">
        <f t="shared" si="8"/>
        <v>30</v>
      </c>
      <c r="AI19" s="6">
        <f t="shared" si="3"/>
        <v>0.95454545454545459</v>
      </c>
      <c r="AJ19" s="6">
        <f t="shared" si="4"/>
        <v>1</v>
      </c>
      <c r="AK19" s="6">
        <f t="shared" si="5"/>
        <v>0.97812658963738108</v>
      </c>
      <c r="AL19" s="6">
        <f t="shared" si="9"/>
        <v>0.93366629010840929</v>
      </c>
      <c r="AM19" s="35"/>
    </row>
    <row r="20" spans="1:39" s="7" customFormat="1" x14ac:dyDescent="0.25">
      <c r="A20" s="44">
        <f t="shared" si="7"/>
        <v>46037</v>
      </c>
      <c r="B20" s="45">
        <f t="shared" si="6"/>
        <v>46037</v>
      </c>
      <c r="C20" s="46" t="s">
        <v>23</v>
      </c>
      <c r="D20" s="9" t="s">
        <v>24</v>
      </c>
      <c r="E20" s="10">
        <v>1321</v>
      </c>
      <c r="F20" s="34">
        <f>1231+115-25</f>
        <v>1321</v>
      </c>
      <c r="G20" s="34">
        <v>85</v>
      </c>
      <c r="H20" s="11">
        <v>660</v>
      </c>
      <c r="I20" s="11">
        <f t="shared" si="0"/>
        <v>30</v>
      </c>
      <c r="J20" s="48">
        <f t="shared" si="1"/>
        <v>630</v>
      </c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>
        <f t="shared" si="2"/>
        <v>30</v>
      </c>
      <c r="AA20" s="21"/>
      <c r="AB20" s="21"/>
      <c r="AC20" s="21"/>
      <c r="AD20" s="21"/>
      <c r="AE20" s="21"/>
      <c r="AF20" s="21"/>
      <c r="AG20" s="21"/>
      <c r="AH20" s="49">
        <f t="shared" si="8"/>
        <v>30</v>
      </c>
      <c r="AI20" s="6">
        <f t="shared" si="3"/>
        <v>0.95454545454545459</v>
      </c>
      <c r="AJ20" s="6">
        <f t="shared" si="4"/>
        <v>1</v>
      </c>
      <c r="AK20" s="6">
        <f t="shared" si="5"/>
        <v>0.9395448079658606</v>
      </c>
      <c r="AL20" s="6">
        <f t="shared" si="9"/>
        <v>0.89683822578559425</v>
      </c>
      <c r="AM20" s="35"/>
    </row>
    <row r="21" spans="1:39" s="7" customFormat="1" x14ac:dyDescent="0.25">
      <c r="A21" s="44">
        <f t="shared" si="7"/>
        <v>46038</v>
      </c>
      <c r="B21" s="45">
        <f t="shared" si="6"/>
        <v>46038</v>
      </c>
      <c r="C21" s="46" t="s">
        <v>23</v>
      </c>
      <c r="D21" s="9" t="s">
        <v>24</v>
      </c>
      <c r="E21" s="10">
        <v>1000</v>
      </c>
      <c r="F21" s="34">
        <v>1000</v>
      </c>
      <c r="G21" s="34"/>
      <c r="H21" s="11">
        <v>480</v>
      </c>
      <c r="I21" s="11"/>
      <c r="J21" s="48">
        <f t="shared" si="1"/>
        <v>450</v>
      </c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>
        <f t="shared" si="2"/>
        <v>30</v>
      </c>
      <c r="AA21" s="21"/>
      <c r="AB21" s="21"/>
      <c r="AC21" s="21"/>
      <c r="AD21" s="21"/>
      <c r="AE21" s="21"/>
      <c r="AF21" s="21"/>
      <c r="AG21" s="21"/>
      <c r="AH21" s="49">
        <f t="shared" si="8"/>
        <v>30</v>
      </c>
      <c r="AI21" s="6">
        <f t="shared" si="3"/>
        <v>0.9375</v>
      </c>
      <c r="AJ21" s="6">
        <f t="shared" si="4"/>
        <v>1</v>
      </c>
      <c r="AK21" s="6">
        <f t="shared" si="5"/>
        <v>1</v>
      </c>
      <c r="AL21" s="6">
        <f t="shared" si="9"/>
        <v>0.9375</v>
      </c>
      <c r="AM21" s="35"/>
    </row>
    <row r="22" spans="1:39" s="7" customFormat="1" x14ac:dyDescent="0.25">
      <c r="A22" s="44">
        <f t="shared" si="7"/>
        <v>46039</v>
      </c>
      <c r="B22" s="45">
        <f t="shared" si="6"/>
        <v>46039</v>
      </c>
      <c r="C22" s="46" t="s">
        <v>23</v>
      </c>
      <c r="D22" s="9" t="s">
        <v>24</v>
      </c>
      <c r="E22" s="10">
        <v>1231</v>
      </c>
      <c r="F22" s="34">
        <v>1231</v>
      </c>
      <c r="G22" s="34">
        <v>45</v>
      </c>
      <c r="H22" s="11">
        <v>660</v>
      </c>
      <c r="I22" s="11">
        <f t="shared" ref="I22:I36" si="11">IF(E22&lt;&gt;"",30,0)</f>
        <v>30</v>
      </c>
      <c r="J22" s="48">
        <f t="shared" si="1"/>
        <v>630</v>
      </c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>
        <f t="shared" si="2"/>
        <v>30</v>
      </c>
      <c r="AA22" s="21"/>
      <c r="AB22" s="21"/>
      <c r="AC22" s="21"/>
      <c r="AD22" s="21"/>
      <c r="AE22" s="21"/>
      <c r="AF22" s="21"/>
      <c r="AG22" s="21"/>
      <c r="AH22" s="49">
        <f t="shared" si="8"/>
        <v>30</v>
      </c>
      <c r="AI22" s="6">
        <f t="shared" si="3"/>
        <v>0.95454545454545459</v>
      </c>
      <c r="AJ22" s="6">
        <f t="shared" si="4"/>
        <v>1</v>
      </c>
      <c r="AK22" s="6">
        <f t="shared" si="5"/>
        <v>0.96473354231974917</v>
      </c>
      <c r="AL22" s="6">
        <f t="shared" si="9"/>
        <v>0.92088201766885147</v>
      </c>
      <c r="AM22" s="35"/>
    </row>
    <row r="23" spans="1:39" s="7" customFormat="1" x14ac:dyDescent="0.25">
      <c r="A23" s="44">
        <f t="shared" si="7"/>
        <v>46040</v>
      </c>
      <c r="B23" s="45">
        <f t="shared" si="6"/>
        <v>46040</v>
      </c>
      <c r="C23" s="46" t="s">
        <v>23</v>
      </c>
      <c r="D23" s="9" t="s">
        <v>24</v>
      </c>
      <c r="E23" s="10">
        <v>1231</v>
      </c>
      <c r="F23" s="34">
        <v>1231</v>
      </c>
      <c r="G23" s="34">
        <v>20</v>
      </c>
      <c r="H23" s="11">
        <v>660</v>
      </c>
      <c r="I23" s="11">
        <f t="shared" si="11"/>
        <v>30</v>
      </c>
      <c r="J23" s="48">
        <f t="shared" si="1"/>
        <v>630</v>
      </c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>
        <f t="shared" si="2"/>
        <v>30</v>
      </c>
      <c r="AA23" s="21"/>
      <c r="AB23" s="21"/>
      <c r="AC23" s="21"/>
      <c r="AD23" s="21"/>
      <c r="AE23" s="21"/>
      <c r="AF23" s="21"/>
      <c r="AG23" s="21"/>
      <c r="AH23" s="49">
        <f t="shared" si="8"/>
        <v>30</v>
      </c>
      <c r="AI23" s="6">
        <f t="shared" si="3"/>
        <v>0.95454545454545459</v>
      </c>
      <c r="AJ23" s="6">
        <f t="shared" si="4"/>
        <v>1</v>
      </c>
      <c r="AK23" s="6">
        <f t="shared" si="5"/>
        <v>0.9840127897681854</v>
      </c>
      <c r="AL23" s="6">
        <f t="shared" si="9"/>
        <v>0.93928493568781335</v>
      </c>
      <c r="AM23" s="35"/>
    </row>
    <row r="24" spans="1:39" s="7" customFormat="1" x14ac:dyDescent="0.25">
      <c r="A24" s="44">
        <f t="shared" si="7"/>
        <v>46041</v>
      </c>
      <c r="B24" s="45">
        <f t="shared" si="6"/>
        <v>46041</v>
      </c>
      <c r="C24" s="46" t="s">
        <v>23</v>
      </c>
      <c r="D24" s="9" t="s">
        <v>24</v>
      </c>
      <c r="E24" s="10">
        <v>1231</v>
      </c>
      <c r="F24" s="34">
        <v>1231</v>
      </c>
      <c r="G24" s="34">
        <v>15</v>
      </c>
      <c r="H24" s="11">
        <v>660</v>
      </c>
      <c r="I24" s="11">
        <f t="shared" si="11"/>
        <v>30</v>
      </c>
      <c r="J24" s="48">
        <f t="shared" si="1"/>
        <v>630</v>
      </c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>
        <f t="shared" si="2"/>
        <v>30</v>
      </c>
      <c r="AA24" s="21"/>
      <c r="AB24" s="21"/>
      <c r="AC24" s="21"/>
      <c r="AD24" s="21"/>
      <c r="AE24" s="21"/>
      <c r="AF24" s="21"/>
      <c r="AG24" s="21"/>
      <c r="AH24" s="49">
        <f t="shared" si="8"/>
        <v>30</v>
      </c>
      <c r="AI24" s="6">
        <f t="shared" si="3"/>
        <v>0.95454545454545459</v>
      </c>
      <c r="AJ24" s="6">
        <f t="shared" si="4"/>
        <v>1</v>
      </c>
      <c r="AK24" s="6">
        <f t="shared" si="5"/>
        <v>0.9879614767255217</v>
      </c>
      <c r="AL24" s="6">
        <f t="shared" si="9"/>
        <v>0.94305413687436168</v>
      </c>
      <c r="AM24" s="35"/>
    </row>
    <row r="25" spans="1:39" s="7" customFormat="1" x14ac:dyDescent="0.25">
      <c r="A25" s="44">
        <f t="shared" si="7"/>
        <v>46042</v>
      </c>
      <c r="B25" s="45">
        <f t="shared" si="6"/>
        <v>46042</v>
      </c>
      <c r="C25" s="46" t="s">
        <v>23</v>
      </c>
      <c r="D25" s="9" t="s">
        <v>24</v>
      </c>
      <c r="E25" s="10">
        <v>1231</v>
      </c>
      <c r="F25" s="34">
        <v>1231</v>
      </c>
      <c r="G25" s="34">
        <v>33</v>
      </c>
      <c r="H25" s="11">
        <v>660</v>
      </c>
      <c r="I25" s="11">
        <f t="shared" si="11"/>
        <v>30</v>
      </c>
      <c r="J25" s="48">
        <f t="shared" si="1"/>
        <v>630</v>
      </c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>
        <f t="shared" si="2"/>
        <v>30</v>
      </c>
      <c r="AA25" s="21"/>
      <c r="AB25" s="21"/>
      <c r="AC25" s="21"/>
      <c r="AD25" s="21"/>
      <c r="AE25" s="21"/>
      <c r="AF25" s="21"/>
      <c r="AG25" s="21"/>
      <c r="AH25" s="49">
        <f t="shared" si="8"/>
        <v>30</v>
      </c>
      <c r="AI25" s="6">
        <f t="shared" si="3"/>
        <v>0.95454545454545459</v>
      </c>
      <c r="AJ25" s="6">
        <f t="shared" si="4"/>
        <v>1</v>
      </c>
      <c r="AK25" s="6">
        <f t="shared" si="5"/>
        <v>0.97389240506329111</v>
      </c>
      <c r="AL25" s="6">
        <f t="shared" si="9"/>
        <v>0.92962456846950514</v>
      </c>
      <c r="AM25" s="35"/>
    </row>
    <row r="26" spans="1:39" s="7" customFormat="1" x14ac:dyDescent="0.25">
      <c r="A26" s="44">
        <f t="shared" si="7"/>
        <v>46043</v>
      </c>
      <c r="B26" s="45">
        <f t="shared" si="6"/>
        <v>46043</v>
      </c>
      <c r="C26" s="46" t="s">
        <v>23</v>
      </c>
      <c r="D26" s="9" t="s">
        <v>24</v>
      </c>
      <c r="E26" s="10">
        <v>1231</v>
      </c>
      <c r="F26" s="10">
        <v>1231</v>
      </c>
      <c r="G26" s="10">
        <v>57</v>
      </c>
      <c r="H26" s="11">
        <v>660</v>
      </c>
      <c r="I26" s="11">
        <f t="shared" si="11"/>
        <v>30</v>
      </c>
      <c r="J26" s="48">
        <f t="shared" si="1"/>
        <v>630</v>
      </c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>
        <f t="shared" si="2"/>
        <v>30</v>
      </c>
      <c r="AA26" s="21"/>
      <c r="AB26" s="21"/>
      <c r="AC26" s="21"/>
      <c r="AD26" s="21"/>
      <c r="AE26" s="21"/>
      <c r="AF26" s="21"/>
      <c r="AG26" s="21"/>
      <c r="AH26" s="49">
        <f t="shared" si="8"/>
        <v>30</v>
      </c>
      <c r="AI26" s="6">
        <f t="shared" si="3"/>
        <v>0.95454545454545459</v>
      </c>
      <c r="AJ26" s="6">
        <f t="shared" si="4"/>
        <v>1</v>
      </c>
      <c r="AK26" s="6">
        <f t="shared" si="5"/>
        <v>0.95574534161490687</v>
      </c>
      <c r="AL26" s="6">
        <f t="shared" si="9"/>
        <v>0.91230237154150207</v>
      </c>
      <c r="AM26" s="260"/>
    </row>
    <row r="27" spans="1:39" s="7" customFormat="1" x14ac:dyDescent="0.25">
      <c r="A27" s="44">
        <f t="shared" si="7"/>
        <v>46044</v>
      </c>
      <c r="B27" s="45">
        <f t="shared" si="6"/>
        <v>46044</v>
      </c>
      <c r="C27" s="46" t="s">
        <v>23</v>
      </c>
      <c r="D27" s="9" t="s">
        <v>24</v>
      </c>
      <c r="E27" s="10">
        <v>1231</v>
      </c>
      <c r="F27" s="10">
        <v>1231</v>
      </c>
      <c r="G27" s="10">
        <v>10</v>
      </c>
      <c r="H27" s="11">
        <v>660</v>
      </c>
      <c r="I27" s="11">
        <f t="shared" si="11"/>
        <v>30</v>
      </c>
      <c r="J27" s="48">
        <f t="shared" si="1"/>
        <v>630</v>
      </c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>
        <f t="shared" si="2"/>
        <v>30</v>
      </c>
      <c r="AA27" s="21"/>
      <c r="AB27" s="21"/>
      <c r="AC27" s="21"/>
      <c r="AD27" s="21"/>
      <c r="AE27" s="21"/>
      <c r="AF27" s="21"/>
      <c r="AG27" s="21"/>
      <c r="AH27" s="49">
        <f t="shared" si="8"/>
        <v>30</v>
      </c>
      <c r="AI27" s="6">
        <f t="shared" si="3"/>
        <v>0.95454545454545459</v>
      </c>
      <c r="AJ27" s="6">
        <f t="shared" si="4"/>
        <v>1</v>
      </c>
      <c r="AK27" s="6">
        <f t="shared" si="5"/>
        <v>0.99194198227236097</v>
      </c>
      <c r="AL27" s="6">
        <f t="shared" si="9"/>
        <v>0.94685371035089005</v>
      </c>
      <c r="AM27" s="260"/>
    </row>
    <row r="28" spans="1:39" s="7" customFormat="1" x14ac:dyDescent="0.25">
      <c r="A28" s="44">
        <f t="shared" si="7"/>
        <v>46045</v>
      </c>
      <c r="B28" s="45">
        <f t="shared" si="6"/>
        <v>46045</v>
      </c>
      <c r="C28" s="46" t="s">
        <v>23</v>
      </c>
      <c r="D28" s="9" t="s">
        <v>24</v>
      </c>
      <c r="E28" s="10"/>
      <c r="F28" s="10"/>
      <c r="G28" s="10"/>
      <c r="H28" s="11"/>
      <c r="I28" s="11">
        <f t="shared" si="11"/>
        <v>0</v>
      </c>
      <c r="J28" s="48">
        <f t="shared" si="1"/>
        <v>0</v>
      </c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>
        <f t="shared" si="2"/>
        <v>0</v>
      </c>
      <c r="AA28" s="21"/>
      <c r="AB28" s="21"/>
      <c r="AC28" s="21"/>
      <c r="AD28" s="21"/>
      <c r="AE28" s="21"/>
      <c r="AF28" s="21"/>
      <c r="AG28" s="21"/>
      <c r="AH28" s="49">
        <f t="shared" si="8"/>
        <v>0</v>
      </c>
      <c r="AI28" s="6" t="str">
        <f t="shared" si="3"/>
        <v>0</v>
      </c>
      <c r="AJ28" s="6" t="str">
        <f t="shared" si="4"/>
        <v>0</v>
      </c>
      <c r="AK28" s="6" t="str">
        <f t="shared" si="5"/>
        <v>0</v>
      </c>
      <c r="AL28" s="6">
        <f t="shared" si="9"/>
        <v>0</v>
      </c>
      <c r="AM28" s="260"/>
    </row>
    <row r="29" spans="1:39" s="7" customFormat="1" x14ac:dyDescent="0.25">
      <c r="A29" s="44">
        <f t="shared" si="7"/>
        <v>46046</v>
      </c>
      <c r="B29" s="45">
        <f t="shared" si="6"/>
        <v>46046</v>
      </c>
      <c r="C29" s="46" t="s">
        <v>23</v>
      </c>
      <c r="D29" s="9" t="s">
        <v>24</v>
      </c>
      <c r="E29" s="10">
        <v>1231</v>
      </c>
      <c r="F29" s="10">
        <v>1231</v>
      </c>
      <c r="G29" s="10">
        <v>15</v>
      </c>
      <c r="H29" s="11">
        <v>660</v>
      </c>
      <c r="I29" s="11">
        <f t="shared" si="11"/>
        <v>30</v>
      </c>
      <c r="J29" s="48">
        <f t="shared" si="1"/>
        <v>630</v>
      </c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>
        <f t="shared" si="2"/>
        <v>30</v>
      </c>
      <c r="AA29" s="21"/>
      <c r="AB29" s="21"/>
      <c r="AC29" s="21"/>
      <c r="AD29" s="21"/>
      <c r="AE29" s="21"/>
      <c r="AF29" s="21"/>
      <c r="AG29" s="21"/>
      <c r="AH29" s="49">
        <f t="shared" si="8"/>
        <v>30</v>
      </c>
      <c r="AI29" s="6">
        <f t="shared" si="3"/>
        <v>0.95454545454545459</v>
      </c>
      <c r="AJ29" s="6">
        <f t="shared" si="4"/>
        <v>1</v>
      </c>
      <c r="AK29" s="6">
        <f t="shared" si="5"/>
        <v>0.9879614767255217</v>
      </c>
      <c r="AL29" s="6">
        <f t="shared" si="9"/>
        <v>0.94305413687436168</v>
      </c>
      <c r="AM29" s="260"/>
    </row>
    <row r="30" spans="1:39" s="7" customFormat="1" x14ac:dyDescent="0.25">
      <c r="A30" s="44">
        <f t="shared" si="7"/>
        <v>46047</v>
      </c>
      <c r="B30" s="45">
        <f t="shared" si="6"/>
        <v>46047</v>
      </c>
      <c r="C30" s="46" t="s">
        <v>23</v>
      </c>
      <c r="D30" s="9" t="s">
        <v>24</v>
      </c>
      <c r="E30" s="10">
        <v>1231</v>
      </c>
      <c r="F30" s="10">
        <v>1231</v>
      </c>
      <c r="G30" s="10">
        <v>13</v>
      </c>
      <c r="H30" s="11">
        <v>660</v>
      </c>
      <c r="I30" s="11">
        <f t="shared" si="11"/>
        <v>30</v>
      </c>
      <c r="J30" s="48">
        <f t="shared" si="1"/>
        <v>630</v>
      </c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>
        <f t="shared" si="2"/>
        <v>30</v>
      </c>
      <c r="AA30" s="21"/>
      <c r="AB30" s="21"/>
      <c r="AC30" s="21"/>
      <c r="AD30" s="21"/>
      <c r="AE30" s="21"/>
      <c r="AF30" s="21"/>
      <c r="AG30" s="21"/>
      <c r="AH30" s="49">
        <f t="shared" si="8"/>
        <v>30</v>
      </c>
      <c r="AI30" s="6">
        <f t="shared" si="3"/>
        <v>0.95454545454545459</v>
      </c>
      <c r="AJ30" s="6">
        <f t="shared" si="4"/>
        <v>1</v>
      </c>
      <c r="AK30" s="6">
        <f t="shared" si="5"/>
        <v>0.98954983922829587</v>
      </c>
      <c r="AL30" s="6">
        <f t="shared" si="9"/>
        <v>0.94457030108155515</v>
      </c>
      <c r="AM30" s="260"/>
    </row>
    <row r="31" spans="1:39" s="7" customFormat="1" x14ac:dyDescent="0.25">
      <c r="A31" s="44">
        <f t="shared" si="7"/>
        <v>46048</v>
      </c>
      <c r="B31" s="45">
        <f t="shared" si="6"/>
        <v>46048</v>
      </c>
      <c r="C31" s="46" t="s">
        <v>23</v>
      </c>
      <c r="D31" s="9" t="s">
        <v>24</v>
      </c>
      <c r="E31" s="10">
        <v>1000</v>
      </c>
      <c r="F31" s="10">
        <v>1000</v>
      </c>
      <c r="G31" s="10">
        <v>12</v>
      </c>
      <c r="H31" s="11">
        <v>480</v>
      </c>
      <c r="I31" s="11">
        <f t="shared" si="11"/>
        <v>30</v>
      </c>
      <c r="J31" s="48">
        <f t="shared" si="1"/>
        <v>450</v>
      </c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>
        <f t="shared" si="2"/>
        <v>30</v>
      </c>
      <c r="AA31" s="21"/>
      <c r="AB31" s="21"/>
      <c r="AC31" s="21"/>
      <c r="AD31" s="21"/>
      <c r="AE31" s="21"/>
      <c r="AF31" s="21"/>
      <c r="AG31" s="21"/>
      <c r="AH31" s="49">
        <f t="shared" si="8"/>
        <v>30</v>
      </c>
      <c r="AI31" s="6">
        <f t="shared" si="3"/>
        <v>0.9375</v>
      </c>
      <c r="AJ31" s="6">
        <f t="shared" si="4"/>
        <v>1</v>
      </c>
      <c r="AK31" s="6">
        <f t="shared" si="5"/>
        <v>0.98814229249011853</v>
      </c>
      <c r="AL31" s="6">
        <f t="shared" si="9"/>
        <v>0.92638339920948609</v>
      </c>
      <c r="AM31" s="260"/>
    </row>
    <row r="32" spans="1:39" s="7" customFormat="1" x14ac:dyDescent="0.25">
      <c r="A32" s="44">
        <f t="shared" si="7"/>
        <v>46049</v>
      </c>
      <c r="B32" s="45">
        <f t="shared" si="6"/>
        <v>46049</v>
      </c>
      <c r="C32" s="46" t="s">
        <v>23</v>
      </c>
      <c r="D32" s="9" t="s">
        <v>24</v>
      </c>
      <c r="E32" s="10">
        <v>1000</v>
      </c>
      <c r="F32" s="10">
        <v>1000</v>
      </c>
      <c r="G32" s="10">
        <v>8</v>
      </c>
      <c r="H32" s="11">
        <v>480</v>
      </c>
      <c r="I32" s="11">
        <f t="shared" si="11"/>
        <v>30</v>
      </c>
      <c r="J32" s="48">
        <f t="shared" si="1"/>
        <v>450</v>
      </c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>
        <f t="shared" si="2"/>
        <v>30</v>
      </c>
      <c r="AA32" s="21"/>
      <c r="AB32" s="21"/>
      <c r="AC32" s="21"/>
      <c r="AD32" s="21"/>
      <c r="AE32" s="21"/>
      <c r="AF32" s="21"/>
      <c r="AG32" s="21"/>
      <c r="AH32" s="49">
        <f t="shared" si="8"/>
        <v>30</v>
      </c>
      <c r="AI32" s="6">
        <f t="shared" si="3"/>
        <v>0.9375</v>
      </c>
      <c r="AJ32" s="6">
        <f t="shared" si="4"/>
        <v>1</v>
      </c>
      <c r="AK32" s="6">
        <f t="shared" si="5"/>
        <v>0.99206349206349209</v>
      </c>
      <c r="AL32" s="6">
        <f t="shared" si="9"/>
        <v>0.93005952380952384</v>
      </c>
      <c r="AM32" s="260"/>
    </row>
    <row r="33" spans="1:39" s="7" customFormat="1" x14ac:dyDescent="0.25">
      <c r="A33" s="44">
        <f t="shared" si="7"/>
        <v>46050</v>
      </c>
      <c r="B33" s="45">
        <f t="shared" si="6"/>
        <v>46050</v>
      </c>
      <c r="C33" s="46" t="s">
        <v>23</v>
      </c>
      <c r="D33" s="9" t="s">
        <v>24</v>
      </c>
      <c r="E33" s="10">
        <v>1000</v>
      </c>
      <c r="F33" s="10">
        <v>1000</v>
      </c>
      <c r="G33" s="10">
        <v>21</v>
      </c>
      <c r="H33" s="11">
        <v>480</v>
      </c>
      <c r="I33" s="11">
        <f t="shared" si="11"/>
        <v>30</v>
      </c>
      <c r="J33" s="48">
        <f t="shared" si="1"/>
        <v>450</v>
      </c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>
        <f t="shared" si="2"/>
        <v>30</v>
      </c>
      <c r="AA33" s="21"/>
      <c r="AB33" s="21"/>
      <c r="AC33" s="21"/>
      <c r="AD33" s="21"/>
      <c r="AE33" s="21"/>
      <c r="AF33" s="21"/>
      <c r="AG33" s="21"/>
      <c r="AH33" s="49">
        <f t="shared" si="8"/>
        <v>30</v>
      </c>
      <c r="AI33" s="6">
        <f t="shared" si="3"/>
        <v>0.9375</v>
      </c>
      <c r="AJ33" s="6">
        <f t="shared" si="4"/>
        <v>1</v>
      </c>
      <c r="AK33" s="6">
        <f t="shared" si="5"/>
        <v>0.97943192948090108</v>
      </c>
      <c r="AL33" s="6">
        <f t="shared" si="9"/>
        <v>0.91821743388834476</v>
      </c>
      <c r="AM33" s="260"/>
    </row>
    <row r="34" spans="1:39" s="7" customFormat="1" x14ac:dyDescent="0.25">
      <c r="A34" s="44">
        <f t="shared" si="7"/>
        <v>46051</v>
      </c>
      <c r="B34" s="45">
        <f t="shared" si="6"/>
        <v>46051</v>
      </c>
      <c r="C34" s="46" t="s">
        <v>23</v>
      </c>
      <c r="D34" s="9" t="s">
        <v>24</v>
      </c>
      <c r="E34" s="10">
        <v>1000</v>
      </c>
      <c r="F34" s="10">
        <v>1000</v>
      </c>
      <c r="G34" s="10">
        <v>11</v>
      </c>
      <c r="H34" s="11">
        <v>480</v>
      </c>
      <c r="I34" s="11">
        <f t="shared" si="11"/>
        <v>30</v>
      </c>
      <c r="J34" s="48">
        <f t="shared" si="1"/>
        <v>450</v>
      </c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>
        <f t="shared" si="2"/>
        <v>30</v>
      </c>
      <c r="AA34" s="21"/>
      <c r="AB34" s="21"/>
      <c r="AC34" s="21"/>
      <c r="AD34" s="21"/>
      <c r="AE34" s="21"/>
      <c r="AF34" s="21"/>
      <c r="AG34" s="21"/>
      <c r="AH34" s="49">
        <f t="shared" si="8"/>
        <v>30</v>
      </c>
      <c r="AI34" s="6">
        <f t="shared" si="3"/>
        <v>0.9375</v>
      </c>
      <c r="AJ34" s="6">
        <f t="shared" si="4"/>
        <v>1</v>
      </c>
      <c r="AK34" s="6">
        <f t="shared" si="5"/>
        <v>0.98911968348170132</v>
      </c>
      <c r="AL34" s="6">
        <f t="shared" si="9"/>
        <v>0.92729970326409494</v>
      </c>
      <c r="AM34" s="260"/>
    </row>
    <row r="35" spans="1:39" s="7" customFormat="1" x14ac:dyDescent="0.25">
      <c r="A35" s="44">
        <f t="shared" si="7"/>
        <v>46052</v>
      </c>
      <c r="B35" s="45">
        <f t="shared" si="6"/>
        <v>46052</v>
      </c>
      <c r="C35" s="46" t="s">
        <v>23</v>
      </c>
      <c r="D35" s="9" t="s">
        <v>24</v>
      </c>
      <c r="E35" s="10">
        <v>1000</v>
      </c>
      <c r="F35" s="34">
        <v>1000</v>
      </c>
      <c r="G35" s="34">
        <v>5</v>
      </c>
      <c r="H35" s="11">
        <v>480</v>
      </c>
      <c r="I35" s="11">
        <f t="shared" si="11"/>
        <v>30</v>
      </c>
      <c r="J35" s="48">
        <f t="shared" si="1"/>
        <v>450</v>
      </c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>
        <f t="shared" si="2"/>
        <v>30</v>
      </c>
      <c r="AA35" s="21"/>
      <c r="AB35" s="21"/>
      <c r="AC35" s="21"/>
      <c r="AD35" s="21"/>
      <c r="AE35" s="21"/>
      <c r="AF35" s="21"/>
      <c r="AG35" s="21"/>
      <c r="AH35" s="49">
        <f t="shared" si="8"/>
        <v>30</v>
      </c>
      <c r="AI35" s="6">
        <f t="shared" si="3"/>
        <v>0.9375</v>
      </c>
      <c r="AJ35" s="6">
        <f t="shared" si="4"/>
        <v>1</v>
      </c>
      <c r="AK35" s="6">
        <f t="shared" si="5"/>
        <v>0.99502487562189057</v>
      </c>
      <c r="AL35" s="6">
        <f t="shared" si="9"/>
        <v>0.93283582089552242</v>
      </c>
      <c r="AM35" s="260"/>
    </row>
    <row r="36" spans="1:39" s="7" customFormat="1" x14ac:dyDescent="0.25">
      <c r="A36" s="44">
        <f t="shared" si="7"/>
        <v>46053</v>
      </c>
      <c r="B36" s="45">
        <f t="shared" si="6"/>
        <v>46053</v>
      </c>
      <c r="C36" s="46" t="s">
        <v>23</v>
      </c>
      <c r="D36" s="9" t="s">
        <v>24</v>
      </c>
      <c r="E36" s="10">
        <v>1000</v>
      </c>
      <c r="F36" s="34">
        <v>1000</v>
      </c>
      <c r="G36" s="34">
        <v>7</v>
      </c>
      <c r="H36" s="11">
        <v>480</v>
      </c>
      <c r="I36" s="11">
        <f t="shared" si="11"/>
        <v>30</v>
      </c>
      <c r="J36" s="48">
        <f t="shared" si="1"/>
        <v>450</v>
      </c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>
        <f t="shared" si="2"/>
        <v>30</v>
      </c>
      <c r="AA36" s="21"/>
      <c r="AB36" s="21"/>
      <c r="AC36" s="21"/>
      <c r="AD36" s="21"/>
      <c r="AE36" s="21"/>
      <c r="AF36" s="21"/>
      <c r="AG36" s="21"/>
      <c r="AH36" s="49">
        <f t="shared" si="8"/>
        <v>30</v>
      </c>
      <c r="AI36" s="6">
        <f t="shared" si="3"/>
        <v>0.9375</v>
      </c>
      <c r="AJ36" s="6">
        <f t="shared" si="4"/>
        <v>1</v>
      </c>
      <c r="AK36" s="6">
        <f t="shared" si="5"/>
        <v>0.99304865938430986</v>
      </c>
      <c r="AL36" s="6">
        <f t="shared" si="9"/>
        <v>0.93098311817279045</v>
      </c>
      <c r="AM36" s="35"/>
    </row>
    <row r="37" spans="1:39" s="12" customFormat="1" ht="14.25" x14ac:dyDescent="0.25">
      <c r="A37" s="313" t="s">
        <v>34</v>
      </c>
      <c r="B37" s="314"/>
      <c r="C37" s="314"/>
      <c r="D37" s="315"/>
      <c r="E37" s="23">
        <f>SUM(E6:E36)</f>
        <v>35200</v>
      </c>
      <c r="F37" s="23">
        <f t="shared" ref="F37:K37" si="12">SUM(F6:F36)</f>
        <v>35200</v>
      </c>
      <c r="G37" s="23">
        <f>SUM(G6:G36)</f>
        <v>985.9</v>
      </c>
      <c r="H37" s="23">
        <f t="shared" si="12"/>
        <v>17700</v>
      </c>
      <c r="I37" s="23">
        <f t="shared" si="12"/>
        <v>840</v>
      </c>
      <c r="J37" s="23">
        <f t="shared" si="12"/>
        <v>16830</v>
      </c>
      <c r="K37" s="23">
        <f t="shared" si="12"/>
        <v>0</v>
      </c>
      <c r="L37" s="23">
        <f t="shared" ref="L37" si="13">SUM(L6:L36)</f>
        <v>0</v>
      </c>
      <c r="M37" s="23">
        <f t="shared" ref="M37" si="14">SUM(M6:M36)</f>
        <v>0</v>
      </c>
      <c r="N37" s="23">
        <f t="shared" ref="N37" si="15">SUM(N6:N36)</f>
        <v>0</v>
      </c>
      <c r="O37" s="23">
        <f t="shared" ref="O37" si="16">SUM(O6:O36)</f>
        <v>0</v>
      </c>
      <c r="P37" s="23">
        <f t="shared" ref="P37:Q37" si="17">SUM(P6:P36)</f>
        <v>0</v>
      </c>
      <c r="Q37" s="23">
        <f t="shared" si="17"/>
        <v>0</v>
      </c>
      <c r="R37" s="23">
        <f t="shared" ref="R37" si="18">SUM(R6:R36)</f>
        <v>0</v>
      </c>
      <c r="S37" s="23">
        <f t="shared" ref="S37" si="19">SUM(S6:S36)</f>
        <v>0</v>
      </c>
      <c r="T37" s="23">
        <f t="shared" ref="T37" si="20">SUM(T6:T36)</f>
        <v>0</v>
      </c>
      <c r="U37" s="23">
        <f t="shared" ref="U37" si="21">SUM(U6:U36)</f>
        <v>0</v>
      </c>
      <c r="V37" s="23">
        <f t="shared" ref="V37:W37" si="22">SUM(V6:V36)</f>
        <v>0</v>
      </c>
      <c r="W37" s="23">
        <f t="shared" si="22"/>
        <v>0</v>
      </c>
      <c r="X37" s="23">
        <f t="shared" ref="X37" si="23">SUM(X6:X36)</f>
        <v>0</v>
      </c>
      <c r="Y37" s="23">
        <f t="shared" ref="Y37" si="24">SUM(Y6:Y36)</f>
        <v>0</v>
      </c>
      <c r="Z37" s="23">
        <f t="shared" ref="Z37" si="25">SUM(Z6:Z36)</f>
        <v>870</v>
      </c>
      <c r="AA37" s="23">
        <f t="shared" ref="AA37" si="26">SUM(AA6:AA36)</f>
        <v>0</v>
      </c>
      <c r="AB37" s="23">
        <f t="shared" ref="AB37:AC37" si="27">SUM(AB6:AB36)</f>
        <v>0</v>
      </c>
      <c r="AC37" s="23">
        <f t="shared" si="27"/>
        <v>0</v>
      </c>
      <c r="AD37" s="23">
        <f t="shared" ref="AD37" si="28">SUM(AD6:AD36)</f>
        <v>0</v>
      </c>
      <c r="AE37" s="23">
        <f t="shared" ref="AE37" si="29">SUM(AE6:AE36)</f>
        <v>0</v>
      </c>
      <c r="AF37" s="23">
        <f t="shared" ref="AF37" si="30">SUM(AF6:AF36)</f>
        <v>0</v>
      </c>
      <c r="AG37" s="23">
        <f t="shared" ref="AG37" si="31">SUM(AG6:AG36)</f>
        <v>0</v>
      </c>
      <c r="AH37" s="23">
        <f>SUM(AH6:AH36)</f>
        <v>870</v>
      </c>
      <c r="AI37" s="80">
        <f>IFERROR(J37/H37,0)</f>
        <v>0.95084745762711864</v>
      </c>
      <c r="AJ37" s="80">
        <f>IFERROR(F37/E37,0)</f>
        <v>1</v>
      </c>
      <c r="AK37" s="80">
        <f>IFERROR(F37/(F37+G37),0)</f>
        <v>0.97275458120428115</v>
      </c>
      <c r="AL37" s="80">
        <f>IFERROR(AK37*AJ37*AI37,0)</f>
        <v>0.92494122043322324</v>
      </c>
      <c r="AM37" s="81"/>
    </row>
    <row r="41" spans="1:39" x14ac:dyDescent="0.25">
      <c r="AI41" s="15"/>
      <c r="AJ41" s="15"/>
      <c r="AK41" s="15"/>
    </row>
  </sheetData>
  <mergeCells count="6">
    <mergeCell ref="A1:AM1"/>
    <mergeCell ref="A2:AM2"/>
    <mergeCell ref="A37:D37"/>
    <mergeCell ref="A4:J4"/>
    <mergeCell ref="AH4:AM4"/>
    <mergeCell ref="A3:AL3"/>
  </mergeCells>
  <conditionalFormatting sqref="J6:AM6 H7:AM36 H6 A6:G36">
    <cfRule type="expression" dxfId="63" priority="4">
      <formula>TEXT($A6,"ddd")="Fri"</formula>
    </cfRule>
  </conditionalFormatting>
  <conditionalFormatting sqref="K6:AG36">
    <cfRule type="cellIs" dxfId="62" priority="3" operator="greaterThan">
      <formula>0</formula>
    </cfRule>
  </conditionalFormatting>
  <pageMargins left="0.1" right="0.25" top="0.53" bottom="0.03" header="0" footer="0"/>
  <pageSetup paperSize="9" scale="5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C9F63-6D65-47C2-AB82-3E668FDD6108}">
  <sheetPr>
    <tabColor rgb="FFFF0000"/>
  </sheetPr>
  <dimension ref="A1:AM41"/>
  <sheetViews>
    <sheetView showGridLines="0" zoomScale="90" zoomScaleNormal="90" workbookViewId="0">
      <pane xSplit="3" ySplit="5" topLeftCell="D17" activePane="bottomRight" state="frozen"/>
      <selection pane="topRight" activeCell="D1" sqref="D1"/>
      <selection pane="bottomLeft" activeCell="A5" sqref="A5"/>
      <selection pane="bottomRight" activeCell="S28" sqref="S28"/>
    </sheetView>
  </sheetViews>
  <sheetFormatPr defaultColWidth="9.140625" defaultRowHeight="12.75" outlineLevelCol="1" x14ac:dyDescent="0.25"/>
  <cols>
    <col min="1" max="1" width="9.140625" style="1" bestFit="1" customWidth="1"/>
    <col min="2" max="2" width="4.85546875" style="1" bestFit="1" customWidth="1"/>
    <col min="3" max="3" width="7.85546875" style="13" bestFit="1" customWidth="1"/>
    <col min="4" max="4" width="15" style="1" bestFit="1" customWidth="1"/>
    <col min="5" max="5" width="6" style="1" bestFit="1" customWidth="1"/>
    <col min="6" max="6" width="6.28515625" style="1" customWidth="1"/>
    <col min="7" max="7" width="4" style="1" bestFit="1" customWidth="1"/>
    <col min="8" max="8" width="6" style="1" bestFit="1" customWidth="1"/>
    <col min="9" max="9" width="4.42578125" style="1" bestFit="1" customWidth="1"/>
    <col min="10" max="10" width="5.85546875" style="1" customWidth="1"/>
    <col min="11" max="19" width="3.28515625" style="1" customWidth="1" outlineLevel="1"/>
    <col min="20" max="20" width="5" style="1" customWidth="1" outlineLevel="1"/>
    <col min="21" max="33" width="3.28515625" style="1" customWidth="1" outlineLevel="1"/>
    <col min="34" max="34" width="5.28515625" style="14" bestFit="1" customWidth="1"/>
    <col min="35" max="35" width="6.140625" style="1" bestFit="1" customWidth="1"/>
    <col min="36" max="36" width="5.140625" style="1" bestFit="1" customWidth="1"/>
    <col min="37" max="37" width="6.140625" style="1" bestFit="1" customWidth="1"/>
    <col min="38" max="38" width="5.140625" style="16" bestFit="1" customWidth="1"/>
    <col min="39" max="39" width="32.140625" style="28" customWidth="1"/>
    <col min="40" max="16384" width="9.140625" style="1"/>
  </cols>
  <sheetData>
    <row r="1" spans="1:39" ht="25.5" x14ac:dyDescent="0.25">
      <c r="A1" s="316" t="s">
        <v>0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  <c r="AF1" s="317"/>
      <c r="AG1" s="317"/>
      <c r="AH1" s="317"/>
      <c r="AI1" s="317"/>
      <c r="AJ1" s="317"/>
      <c r="AK1" s="317"/>
      <c r="AL1" s="317"/>
      <c r="AM1" s="317"/>
    </row>
    <row r="2" spans="1:39" x14ac:dyDescent="0.25">
      <c r="A2" s="318" t="s">
        <v>1</v>
      </c>
      <c r="B2" s="319"/>
      <c r="C2" s="319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  <c r="AA2" s="319"/>
      <c r="AB2" s="319"/>
      <c r="AC2" s="319"/>
      <c r="AD2" s="319"/>
      <c r="AE2" s="319"/>
      <c r="AF2" s="319"/>
      <c r="AG2" s="319"/>
      <c r="AH2" s="319"/>
      <c r="AI2" s="319"/>
      <c r="AJ2" s="319"/>
      <c r="AK2" s="319"/>
      <c r="AL2" s="319"/>
      <c r="AM2" s="319"/>
    </row>
    <row r="3" spans="1:39" x14ac:dyDescent="0.25">
      <c r="A3" s="218" t="str">
        <f>"Fan Armature Section ("&amp;TEXT('Fan Lathe'!AM3,"mmmm yyyy")&amp;")"</f>
        <v>Fan Armature Section (January 2026)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19"/>
      <c r="AD3" s="219"/>
      <c r="AE3" s="219"/>
      <c r="AF3" s="219"/>
      <c r="AG3" s="219"/>
      <c r="AH3" s="219"/>
      <c r="AI3" s="219"/>
      <c r="AJ3" s="219"/>
      <c r="AK3" s="219"/>
      <c r="AL3" s="219"/>
      <c r="AM3" s="216">
        <f>'Fan Lathe'!AM3</f>
        <v>46023</v>
      </c>
    </row>
    <row r="4" spans="1:39" ht="13.5" thickBot="1" x14ac:dyDescent="0.3">
      <c r="A4" s="387"/>
      <c r="B4" s="388"/>
      <c r="C4" s="388"/>
      <c r="D4" s="388"/>
      <c r="E4" s="388"/>
      <c r="F4" s="388"/>
      <c r="G4" s="388"/>
      <c r="H4" s="388"/>
      <c r="I4" s="388"/>
      <c r="J4" s="389"/>
      <c r="K4" s="4">
        <v>10</v>
      </c>
      <c r="L4" s="4">
        <v>11</v>
      </c>
      <c r="M4" s="4">
        <v>12</v>
      </c>
      <c r="N4" s="4">
        <v>13</v>
      </c>
      <c r="O4" s="4">
        <v>14</v>
      </c>
      <c r="P4" s="4">
        <v>15</v>
      </c>
      <c r="Q4" s="4">
        <v>16</v>
      </c>
      <c r="R4" s="4">
        <v>17</v>
      </c>
      <c r="S4" s="4">
        <v>18</v>
      </c>
      <c r="T4" s="4">
        <v>19</v>
      </c>
      <c r="U4" s="4">
        <v>20</v>
      </c>
      <c r="V4" s="4">
        <v>21</v>
      </c>
      <c r="W4" s="4">
        <v>22</v>
      </c>
      <c r="X4" s="4">
        <v>23</v>
      </c>
      <c r="Y4" s="4">
        <v>24</v>
      </c>
      <c r="Z4" s="4">
        <v>25</v>
      </c>
      <c r="AA4" s="4">
        <v>26</v>
      </c>
      <c r="AB4" s="4">
        <v>27</v>
      </c>
      <c r="AC4" s="4">
        <v>28</v>
      </c>
      <c r="AD4" s="4">
        <v>29</v>
      </c>
      <c r="AE4" s="4">
        <v>30</v>
      </c>
      <c r="AF4" s="4">
        <v>31</v>
      </c>
      <c r="AG4" s="4">
        <v>32</v>
      </c>
      <c r="AH4" s="387"/>
      <c r="AI4" s="388"/>
      <c r="AJ4" s="388"/>
      <c r="AK4" s="388"/>
      <c r="AL4" s="388"/>
      <c r="AM4" s="389"/>
    </row>
    <row r="5" spans="1:39" s="5" customFormat="1" ht="110.25" customHeight="1" thickBot="1" x14ac:dyDescent="0.3">
      <c r="A5" s="73" t="s">
        <v>2</v>
      </c>
      <c r="B5" s="74" t="s">
        <v>3</v>
      </c>
      <c r="C5" s="74" t="s">
        <v>4</v>
      </c>
      <c r="D5" s="74" t="s">
        <v>5</v>
      </c>
      <c r="E5" s="74" t="s">
        <v>46</v>
      </c>
      <c r="F5" s="74" t="s">
        <v>41</v>
      </c>
      <c r="G5" s="74" t="s">
        <v>6</v>
      </c>
      <c r="H5" s="74" t="s">
        <v>26</v>
      </c>
      <c r="I5" s="74" t="s">
        <v>42</v>
      </c>
      <c r="J5" s="75" t="s">
        <v>43</v>
      </c>
      <c r="K5" s="33" t="s">
        <v>28</v>
      </c>
      <c r="L5" s="22" t="s">
        <v>29</v>
      </c>
      <c r="M5" s="22" t="s">
        <v>27</v>
      </c>
      <c r="N5" s="22" t="s">
        <v>8</v>
      </c>
      <c r="O5" s="22" t="s">
        <v>38</v>
      </c>
      <c r="P5" s="22" t="s">
        <v>9</v>
      </c>
      <c r="Q5" s="22" t="s">
        <v>10</v>
      </c>
      <c r="R5" s="22" t="s">
        <v>11</v>
      </c>
      <c r="S5" s="22" t="s">
        <v>12</v>
      </c>
      <c r="T5" s="22" t="s">
        <v>13</v>
      </c>
      <c r="U5" s="22" t="s">
        <v>14</v>
      </c>
      <c r="V5" s="22" t="s">
        <v>30</v>
      </c>
      <c r="W5" s="22" t="s">
        <v>44</v>
      </c>
      <c r="X5" s="22" t="s">
        <v>25</v>
      </c>
      <c r="Y5" s="22" t="s">
        <v>31</v>
      </c>
      <c r="Z5" s="22" t="s">
        <v>32</v>
      </c>
      <c r="AA5" s="22" t="s">
        <v>15</v>
      </c>
      <c r="AB5" s="22" t="s">
        <v>16</v>
      </c>
      <c r="AC5" s="22" t="s">
        <v>33</v>
      </c>
      <c r="AD5" s="22" t="s">
        <v>36</v>
      </c>
      <c r="AE5" s="22" t="s">
        <v>40</v>
      </c>
      <c r="AF5" s="22" t="s">
        <v>37</v>
      </c>
      <c r="AG5" s="305" t="s">
        <v>39</v>
      </c>
      <c r="AH5" s="77" t="s">
        <v>17</v>
      </c>
      <c r="AI5" s="74" t="s">
        <v>18</v>
      </c>
      <c r="AJ5" s="74" t="s">
        <v>19</v>
      </c>
      <c r="AK5" s="74" t="s">
        <v>20</v>
      </c>
      <c r="AL5" s="78" t="s">
        <v>21</v>
      </c>
      <c r="AM5" s="79" t="s">
        <v>22</v>
      </c>
    </row>
    <row r="6" spans="1:39" s="7" customFormat="1" ht="12.75" customHeight="1" x14ac:dyDescent="0.2">
      <c r="A6" s="44">
        <f>AM3</f>
        <v>46023</v>
      </c>
      <c r="B6" s="45">
        <f>A6</f>
        <v>46023</v>
      </c>
      <c r="C6" s="46" t="s">
        <v>23</v>
      </c>
      <c r="D6" s="9" t="s">
        <v>45</v>
      </c>
      <c r="E6" s="10">
        <v>1345</v>
      </c>
      <c r="F6" s="34">
        <v>1330</v>
      </c>
      <c r="G6" s="26">
        <v>0</v>
      </c>
      <c r="H6" s="11">
        <v>660</v>
      </c>
      <c r="I6" s="47">
        <f>IF(E6&lt;&gt;"",30,0)</f>
        <v>30</v>
      </c>
      <c r="J6" s="48">
        <f t="shared" ref="J6:J36" si="0">H6-AH6</f>
        <v>630</v>
      </c>
      <c r="K6" s="304"/>
      <c r="L6" s="304"/>
      <c r="M6" s="304"/>
      <c r="N6" s="304"/>
      <c r="O6" s="304"/>
      <c r="P6" s="304"/>
      <c r="Q6" s="304"/>
      <c r="R6" s="304"/>
      <c r="S6" s="304"/>
      <c r="T6" s="304"/>
      <c r="U6" s="304"/>
      <c r="V6" s="304"/>
      <c r="W6" s="304"/>
      <c r="X6" s="304"/>
      <c r="Y6" s="304"/>
      <c r="Z6" s="304">
        <f>IF(E6&lt;&gt;"",30,0)</f>
        <v>30</v>
      </c>
      <c r="AA6" s="304"/>
      <c r="AB6" s="304"/>
      <c r="AC6" s="304"/>
      <c r="AD6" s="304"/>
      <c r="AE6" s="304"/>
      <c r="AF6" s="304"/>
      <c r="AG6" s="304"/>
      <c r="AH6" s="49">
        <f>SUM(K6:AG6)</f>
        <v>30</v>
      </c>
      <c r="AI6" s="6">
        <f t="shared" ref="AI6:AI36" si="1">IFERROR(J6/H6,"0")</f>
        <v>0.95454545454545459</v>
      </c>
      <c r="AJ6" s="6">
        <f t="shared" ref="AJ6:AJ36" si="2">IFERROR(F6/E6,"0")</f>
        <v>0.98884758364312264</v>
      </c>
      <c r="AK6" s="6">
        <f>IFERROR(F6/(F6+G6),"0")</f>
        <v>1</v>
      </c>
      <c r="AL6" s="6">
        <f>IFERROR(AK6*AJ6*AI6,"0")</f>
        <v>0.94389996620479888</v>
      </c>
      <c r="AM6" s="290"/>
    </row>
    <row r="7" spans="1:39" s="7" customFormat="1" ht="15" x14ac:dyDescent="0.25">
      <c r="A7" s="44">
        <f>A6+1</f>
        <v>46024</v>
      </c>
      <c r="B7" s="45">
        <f t="shared" ref="B7:B36" si="3">A7</f>
        <v>46024</v>
      </c>
      <c r="C7" s="46" t="s">
        <v>23</v>
      </c>
      <c r="D7" s="9" t="s">
        <v>45</v>
      </c>
      <c r="E7" s="10">
        <v>1025</v>
      </c>
      <c r="F7" s="34">
        <v>1010</v>
      </c>
      <c r="G7" s="26">
        <v>0</v>
      </c>
      <c r="H7" s="11">
        <v>480</v>
      </c>
      <c r="I7" s="11">
        <f t="shared" ref="I7:I36" si="4">IF(E7&lt;&gt;"",30,0)</f>
        <v>30</v>
      </c>
      <c r="J7" s="48">
        <f t="shared" si="0"/>
        <v>450</v>
      </c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>
        <f t="shared" ref="Z7:Z36" si="5">IF(E7&lt;&gt;"",30,0)</f>
        <v>30</v>
      </c>
      <c r="AA7" s="21"/>
      <c r="AB7" s="21"/>
      <c r="AC7" s="21"/>
      <c r="AD7" s="21"/>
      <c r="AE7" s="21"/>
      <c r="AF7" s="21"/>
      <c r="AG7" s="21"/>
      <c r="AH7" s="49">
        <f>SUM(K7:AG7)</f>
        <v>30</v>
      </c>
      <c r="AI7" s="6">
        <f t="shared" si="1"/>
        <v>0.9375</v>
      </c>
      <c r="AJ7" s="6">
        <f t="shared" si="2"/>
        <v>0.98536585365853657</v>
      </c>
      <c r="AK7" s="6">
        <f>IFERROR(F7/(F7+G7),"0")</f>
        <v>1</v>
      </c>
      <c r="AL7" s="6">
        <f>IFERROR(AK7*AJ7*AI7,"0")</f>
        <v>0.92378048780487809</v>
      </c>
      <c r="AM7" s="290"/>
    </row>
    <row r="8" spans="1:39" s="7" customFormat="1" ht="15" x14ac:dyDescent="0.25">
      <c r="A8" s="44">
        <f t="shared" ref="A8:A36" si="6">A7+1</f>
        <v>46025</v>
      </c>
      <c r="B8" s="45">
        <f t="shared" si="3"/>
        <v>46025</v>
      </c>
      <c r="C8" s="46" t="s">
        <v>23</v>
      </c>
      <c r="D8" s="9" t="s">
        <v>45</v>
      </c>
      <c r="E8" s="10">
        <v>1400</v>
      </c>
      <c r="F8" s="34">
        <v>1385</v>
      </c>
      <c r="G8" s="26">
        <v>0</v>
      </c>
      <c r="H8" s="11">
        <v>660</v>
      </c>
      <c r="I8" s="11">
        <f t="shared" si="4"/>
        <v>30</v>
      </c>
      <c r="J8" s="48">
        <f t="shared" si="0"/>
        <v>630</v>
      </c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>
        <f t="shared" si="5"/>
        <v>30</v>
      </c>
      <c r="AA8" s="21"/>
      <c r="AB8" s="21"/>
      <c r="AC8" s="21"/>
      <c r="AD8" s="21"/>
      <c r="AE8" s="21"/>
      <c r="AF8" s="21"/>
      <c r="AG8" s="21"/>
      <c r="AH8" s="49">
        <f t="shared" ref="AH8:AH36" si="7">SUM(K8:AG8)</f>
        <v>30</v>
      </c>
      <c r="AI8" s="6">
        <f t="shared" si="1"/>
        <v>0.95454545454545459</v>
      </c>
      <c r="AJ8" s="6">
        <f t="shared" si="2"/>
        <v>0.98928571428571432</v>
      </c>
      <c r="AK8" s="6">
        <f t="shared" ref="AK8:AK36" si="8">IFERROR(F8/(F8+G8),"0")</f>
        <v>1</v>
      </c>
      <c r="AL8" s="6">
        <f t="shared" ref="AL8:AL36" si="9">IFERROR(AK8*AJ8*AI8,"0")</f>
        <v>0.94431818181818195</v>
      </c>
      <c r="AM8" s="290"/>
    </row>
    <row r="9" spans="1:39" s="7" customFormat="1" ht="15" x14ac:dyDescent="0.25">
      <c r="A9" s="44">
        <f t="shared" si="6"/>
        <v>46026</v>
      </c>
      <c r="B9" s="45">
        <f t="shared" si="3"/>
        <v>46026</v>
      </c>
      <c r="C9" s="46" t="s">
        <v>23</v>
      </c>
      <c r="D9" s="9" t="s">
        <v>45</v>
      </c>
      <c r="E9" s="10">
        <v>1400</v>
      </c>
      <c r="F9" s="34">
        <v>1385</v>
      </c>
      <c r="G9" s="26">
        <v>0</v>
      </c>
      <c r="H9" s="11">
        <v>660</v>
      </c>
      <c r="I9" s="11">
        <f t="shared" si="4"/>
        <v>30</v>
      </c>
      <c r="J9" s="48">
        <f t="shared" si="0"/>
        <v>630</v>
      </c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>
        <f t="shared" si="5"/>
        <v>30</v>
      </c>
      <c r="AA9" s="21"/>
      <c r="AB9" s="21"/>
      <c r="AC9" s="21"/>
      <c r="AD9" s="21"/>
      <c r="AE9" s="21"/>
      <c r="AF9" s="21"/>
      <c r="AG9" s="21"/>
      <c r="AH9" s="49">
        <f t="shared" si="7"/>
        <v>30</v>
      </c>
      <c r="AI9" s="6">
        <f t="shared" si="1"/>
        <v>0.95454545454545459</v>
      </c>
      <c r="AJ9" s="6">
        <f t="shared" si="2"/>
        <v>0.98928571428571432</v>
      </c>
      <c r="AK9" s="6">
        <f t="shared" si="8"/>
        <v>1</v>
      </c>
      <c r="AL9" s="6">
        <f t="shared" si="9"/>
        <v>0.94431818181818195</v>
      </c>
      <c r="AM9" s="290"/>
    </row>
    <row r="10" spans="1:39" s="7" customFormat="1" x14ac:dyDescent="0.25">
      <c r="A10" s="44">
        <f t="shared" si="6"/>
        <v>46027</v>
      </c>
      <c r="B10" s="45">
        <f t="shared" si="3"/>
        <v>46027</v>
      </c>
      <c r="C10" s="46" t="s">
        <v>23</v>
      </c>
      <c r="D10" s="9" t="s">
        <v>45</v>
      </c>
      <c r="E10" s="10">
        <v>1405</v>
      </c>
      <c r="F10" s="34">
        <v>1390</v>
      </c>
      <c r="G10" s="26">
        <v>0</v>
      </c>
      <c r="H10" s="11">
        <v>660</v>
      </c>
      <c r="I10" s="11">
        <f t="shared" si="4"/>
        <v>30</v>
      </c>
      <c r="J10" s="48">
        <f t="shared" si="0"/>
        <v>630</v>
      </c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>
        <f t="shared" si="5"/>
        <v>30</v>
      </c>
      <c r="AA10" s="21"/>
      <c r="AB10" s="21"/>
      <c r="AC10" s="21"/>
      <c r="AD10" s="21"/>
      <c r="AE10" s="21"/>
      <c r="AF10" s="21"/>
      <c r="AG10" s="21"/>
      <c r="AH10" s="49">
        <f t="shared" si="7"/>
        <v>30</v>
      </c>
      <c r="AI10" s="6">
        <f t="shared" si="1"/>
        <v>0.95454545454545459</v>
      </c>
      <c r="AJ10" s="6">
        <f t="shared" si="2"/>
        <v>0.98932384341637014</v>
      </c>
      <c r="AK10" s="6">
        <f t="shared" si="8"/>
        <v>1</v>
      </c>
      <c r="AL10" s="6">
        <f t="shared" si="9"/>
        <v>0.9443545778065352</v>
      </c>
      <c r="AM10" s="291"/>
    </row>
    <row r="11" spans="1:39" s="7" customFormat="1" ht="16.5" customHeight="1" x14ac:dyDescent="0.2">
      <c r="A11" s="44">
        <f t="shared" si="6"/>
        <v>46028</v>
      </c>
      <c r="B11" s="45">
        <f t="shared" si="3"/>
        <v>46028</v>
      </c>
      <c r="C11" s="46" t="s">
        <v>23</v>
      </c>
      <c r="D11" s="9" t="s">
        <v>45</v>
      </c>
      <c r="E11" s="10">
        <v>1415</v>
      </c>
      <c r="F11" s="34">
        <v>1400</v>
      </c>
      <c r="G11" s="26">
        <v>0</v>
      </c>
      <c r="H11" s="11">
        <v>660</v>
      </c>
      <c r="I11" s="47">
        <f t="shared" si="4"/>
        <v>30</v>
      </c>
      <c r="J11" s="48">
        <f t="shared" si="0"/>
        <v>630</v>
      </c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>
        <f t="shared" si="5"/>
        <v>30</v>
      </c>
      <c r="AA11" s="21"/>
      <c r="AB11" s="21"/>
      <c r="AC11" s="21"/>
      <c r="AD11" s="21"/>
      <c r="AE11" s="21"/>
      <c r="AF11" s="21"/>
      <c r="AG11" s="21"/>
      <c r="AH11" s="49">
        <f t="shared" si="7"/>
        <v>30</v>
      </c>
      <c r="AI11" s="6">
        <f t="shared" si="1"/>
        <v>0.95454545454545459</v>
      </c>
      <c r="AJ11" s="6">
        <f t="shared" si="2"/>
        <v>0.98939929328621912</v>
      </c>
      <c r="AK11" s="6">
        <f t="shared" si="8"/>
        <v>1</v>
      </c>
      <c r="AL11" s="6">
        <f t="shared" si="9"/>
        <v>0.9444265981368456</v>
      </c>
      <c r="AM11" s="291"/>
    </row>
    <row r="12" spans="1:39" s="7" customFormat="1" x14ac:dyDescent="0.25">
      <c r="A12" s="44">
        <f t="shared" si="6"/>
        <v>46029</v>
      </c>
      <c r="B12" s="45">
        <f t="shared" si="3"/>
        <v>46029</v>
      </c>
      <c r="C12" s="46" t="s">
        <v>23</v>
      </c>
      <c r="D12" s="9" t="s">
        <v>45</v>
      </c>
      <c r="E12" s="10">
        <v>1415</v>
      </c>
      <c r="F12" s="34">
        <v>1400</v>
      </c>
      <c r="G12" s="26">
        <v>0</v>
      </c>
      <c r="H12" s="11">
        <v>660</v>
      </c>
      <c r="I12" s="11">
        <f t="shared" si="4"/>
        <v>30</v>
      </c>
      <c r="J12" s="48">
        <f t="shared" si="0"/>
        <v>630</v>
      </c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>
        <f t="shared" si="5"/>
        <v>30</v>
      </c>
      <c r="AA12" s="21"/>
      <c r="AB12" s="21"/>
      <c r="AC12" s="21"/>
      <c r="AD12" s="21"/>
      <c r="AE12" s="21"/>
      <c r="AF12" s="21"/>
      <c r="AG12" s="21"/>
      <c r="AH12" s="49">
        <f t="shared" si="7"/>
        <v>30</v>
      </c>
      <c r="AI12" s="6">
        <f t="shared" si="1"/>
        <v>0.95454545454545459</v>
      </c>
      <c r="AJ12" s="6">
        <f t="shared" si="2"/>
        <v>0.98939929328621912</v>
      </c>
      <c r="AK12" s="6">
        <f t="shared" si="8"/>
        <v>1</v>
      </c>
      <c r="AL12" s="6">
        <f t="shared" si="9"/>
        <v>0.9444265981368456</v>
      </c>
      <c r="AM12" s="291"/>
    </row>
    <row r="13" spans="1:39" s="7" customFormat="1" x14ac:dyDescent="0.25">
      <c r="A13" s="44">
        <f t="shared" si="6"/>
        <v>46030</v>
      </c>
      <c r="B13" s="45">
        <f t="shared" si="3"/>
        <v>46030</v>
      </c>
      <c r="C13" s="46" t="s">
        <v>23</v>
      </c>
      <c r="D13" s="9" t="s">
        <v>45</v>
      </c>
      <c r="E13" s="10">
        <v>1415</v>
      </c>
      <c r="F13" s="34">
        <v>1400</v>
      </c>
      <c r="G13" s="26">
        <v>0</v>
      </c>
      <c r="H13" s="11">
        <v>660</v>
      </c>
      <c r="I13" s="11">
        <f t="shared" si="4"/>
        <v>30</v>
      </c>
      <c r="J13" s="48">
        <f t="shared" si="0"/>
        <v>630</v>
      </c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>
        <f t="shared" si="5"/>
        <v>30</v>
      </c>
      <c r="AA13" s="21"/>
      <c r="AB13" s="21"/>
      <c r="AC13" s="21"/>
      <c r="AD13" s="21"/>
      <c r="AE13" s="21"/>
      <c r="AF13" s="21"/>
      <c r="AG13" s="21"/>
      <c r="AH13" s="49">
        <f t="shared" si="7"/>
        <v>30</v>
      </c>
      <c r="AI13" s="6">
        <f t="shared" si="1"/>
        <v>0.95454545454545459</v>
      </c>
      <c r="AJ13" s="6">
        <f t="shared" si="2"/>
        <v>0.98939929328621912</v>
      </c>
      <c r="AK13" s="6">
        <f t="shared" si="8"/>
        <v>1</v>
      </c>
      <c r="AL13" s="6">
        <f t="shared" si="9"/>
        <v>0.9444265981368456</v>
      </c>
      <c r="AM13" s="35"/>
    </row>
    <row r="14" spans="1:39" s="7" customFormat="1" x14ac:dyDescent="0.25">
      <c r="A14" s="44">
        <f t="shared" si="6"/>
        <v>46031</v>
      </c>
      <c r="B14" s="45">
        <f t="shared" si="3"/>
        <v>46031</v>
      </c>
      <c r="C14" s="46" t="s">
        <v>23</v>
      </c>
      <c r="D14" s="9" t="s">
        <v>45</v>
      </c>
      <c r="E14" s="10"/>
      <c r="F14" s="34">
        <v>0</v>
      </c>
      <c r="G14" s="26">
        <v>0</v>
      </c>
      <c r="H14" s="11"/>
      <c r="I14" s="11">
        <f t="shared" si="4"/>
        <v>0</v>
      </c>
      <c r="J14" s="48">
        <f t="shared" si="0"/>
        <v>0</v>
      </c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>
        <f t="shared" si="5"/>
        <v>0</v>
      </c>
      <c r="AA14" s="21"/>
      <c r="AB14" s="21"/>
      <c r="AC14" s="21"/>
      <c r="AD14" s="21"/>
      <c r="AE14" s="21"/>
      <c r="AF14" s="21"/>
      <c r="AG14" s="21"/>
      <c r="AH14" s="49">
        <f t="shared" si="7"/>
        <v>0</v>
      </c>
      <c r="AI14" s="6" t="str">
        <f t="shared" si="1"/>
        <v>0</v>
      </c>
      <c r="AJ14" s="6" t="str">
        <f t="shared" si="2"/>
        <v>0</v>
      </c>
      <c r="AK14" s="6" t="str">
        <f t="shared" si="8"/>
        <v>0</v>
      </c>
      <c r="AL14" s="6">
        <f t="shared" si="9"/>
        <v>0</v>
      </c>
      <c r="AM14" s="35"/>
    </row>
    <row r="15" spans="1:39" s="7" customFormat="1" x14ac:dyDescent="0.25">
      <c r="A15" s="44">
        <f t="shared" si="6"/>
        <v>46032</v>
      </c>
      <c r="B15" s="45">
        <f t="shared" si="3"/>
        <v>46032</v>
      </c>
      <c r="C15" s="46" t="s">
        <v>23</v>
      </c>
      <c r="D15" s="9" t="s">
        <v>45</v>
      </c>
      <c r="E15" s="10">
        <v>1427</v>
      </c>
      <c r="F15" s="34">
        <v>1412</v>
      </c>
      <c r="G15" s="26">
        <v>0</v>
      </c>
      <c r="H15" s="11">
        <v>660</v>
      </c>
      <c r="I15" s="11">
        <f t="shared" si="4"/>
        <v>30</v>
      </c>
      <c r="J15" s="48">
        <f t="shared" si="0"/>
        <v>630</v>
      </c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>
        <f t="shared" si="5"/>
        <v>30</v>
      </c>
      <c r="AA15" s="21"/>
      <c r="AB15" s="21"/>
      <c r="AC15" s="21"/>
      <c r="AD15" s="21"/>
      <c r="AE15" s="21"/>
      <c r="AF15" s="21"/>
      <c r="AG15" s="21"/>
      <c r="AH15" s="49">
        <f t="shared" si="7"/>
        <v>30</v>
      </c>
      <c r="AI15" s="6">
        <f t="shared" si="1"/>
        <v>0.95454545454545459</v>
      </c>
      <c r="AJ15" s="6">
        <f t="shared" si="2"/>
        <v>0.9894884372810091</v>
      </c>
      <c r="AK15" s="6">
        <f t="shared" si="8"/>
        <v>1</v>
      </c>
      <c r="AL15" s="6">
        <f t="shared" si="9"/>
        <v>0.94451169013187242</v>
      </c>
      <c r="AM15" s="35"/>
    </row>
    <row r="16" spans="1:39" s="7" customFormat="1" x14ac:dyDescent="0.25">
      <c r="A16" s="44">
        <f t="shared" si="6"/>
        <v>46033</v>
      </c>
      <c r="B16" s="45">
        <f t="shared" si="3"/>
        <v>46033</v>
      </c>
      <c r="C16" s="46" t="s">
        <v>23</v>
      </c>
      <c r="D16" s="9" t="s">
        <v>45</v>
      </c>
      <c r="E16" s="10">
        <v>1030</v>
      </c>
      <c r="F16" s="34">
        <v>1015</v>
      </c>
      <c r="G16" s="26">
        <v>0</v>
      </c>
      <c r="H16" s="11">
        <v>660</v>
      </c>
      <c r="I16" s="11">
        <f t="shared" si="4"/>
        <v>30</v>
      </c>
      <c r="J16" s="48">
        <f t="shared" si="0"/>
        <v>630</v>
      </c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>
        <f t="shared" si="5"/>
        <v>30</v>
      </c>
      <c r="AA16" s="21"/>
      <c r="AB16" s="21"/>
      <c r="AC16" s="21"/>
      <c r="AD16" s="21"/>
      <c r="AE16" s="21"/>
      <c r="AF16" s="21"/>
      <c r="AG16" s="21"/>
      <c r="AH16" s="49">
        <f t="shared" si="7"/>
        <v>30</v>
      </c>
      <c r="AI16" s="6">
        <f t="shared" si="1"/>
        <v>0.95454545454545459</v>
      </c>
      <c r="AJ16" s="6">
        <f t="shared" si="2"/>
        <v>0.9854368932038835</v>
      </c>
      <c r="AK16" s="6">
        <f t="shared" si="8"/>
        <v>1</v>
      </c>
      <c r="AL16" s="6">
        <f t="shared" si="9"/>
        <v>0.94064430714916158</v>
      </c>
      <c r="AM16" s="35"/>
    </row>
    <row r="17" spans="1:39" s="7" customFormat="1" x14ac:dyDescent="0.25">
      <c r="A17" s="44">
        <f t="shared" si="6"/>
        <v>46034</v>
      </c>
      <c r="B17" s="45">
        <f t="shared" si="3"/>
        <v>46034</v>
      </c>
      <c r="C17" s="46" t="s">
        <v>23</v>
      </c>
      <c r="D17" s="9" t="s">
        <v>45</v>
      </c>
      <c r="E17" s="10">
        <v>1400</v>
      </c>
      <c r="F17" s="34">
        <v>1385</v>
      </c>
      <c r="G17" s="26">
        <v>0</v>
      </c>
      <c r="H17" s="11">
        <v>660</v>
      </c>
      <c r="I17" s="11">
        <f t="shared" si="4"/>
        <v>30</v>
      </c>
      <c r="J17" s="48">
        <f t="shared" si="0"/>
        <v>630</v>
      </c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>
        <f t="shared" si="5"/>
        <v>30</v>
      </c>
      <c r="AA17" s="21"/>
      <c r="AB17" s="21"/>
      <c r="AC17" s="21"/>
      <c r="AD17" s="21"/>
      <c r="AE17" s="21"/>
      <c r="AF17" s="21"/>
      <c r="AG17" s="21"/>
      <c r="AH17" s="49">
        <f t="shared" si="7"/>
        <v>30</v>
      </c>
      <c r="AI17" s="6">
        <f t="shared" si="1"/>
        <v>0.95454545454545459</v>
      </c>
      <c r="AJ17" s="6">
        <f t="shared" si="2"/>
        <v>0.98928571428571432</v>
      </c>
      <c r="AK17" s="6">
        <f t="shared" si="8"/>
        <v>1</v>
      </c>
      <c r="AL17" s="6">
        <f t="shared" si="9"/>
        <v>0.94431818181818195</v>
      </c>
      <c r="AM17" s="35"/>
    </row>
    <row r="18" spans="1:39" s="7" customFormat="1" x14ac:dyDescent="0.25">
      <c r="A18" s="44">
        <f t="shared" si="6"/>
        <v>46035</v>
      </c>
      <c r="B18" s="45">
        <f t="shared" si="3"/>
        <v>46035</v>
      </c>
      <c r="C18" s="46" t="s">
        <v>23</v>
      </c>
      <c r="D18" s="9" t="s">
        <v>45</v>
      </c>
      <c r="E18" s="10">
        <v>1405</v>
      </c>
      <c r="F18" s="34">
        <v>1390</v>
      </c>
      <c r="G18" s="26">
        <v>0</v>
      </c>
      <c r="H18" s="11">
        <v>660</v>
      </c>
      <c r="I18" s="11">
        <f t="shared" si="4"/>
        <v>30</v>
      </c>
      <c r="J18" s="48">
        <f t="shared" si="0"/>
        <v>630</v>
      </c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>
        <f t="shared" si="5"/>
        <v>30</v>
      </c>
      <c r="AA18" s="21"/>
      <c r="AB18" s="21"/>
      <c r="AC18" s="21"/>
      <c r="AD18" s="21"/>
      <c r="AE18" s="21"/>
      <c r="AF18" s="21"/>
      <c r="AG18" s="21"/>
      <c r="AH18" s="49">
        <f t="shared" si="7"/>
        <v>30</v>
      </c>
      <c r="AI18" s="6">
        <f t="shared" si="1"/>
        <v>0.95454545454545459</v>
      </c>
      <c r="AJ18" s="6">
        <f t="shared" si="2"/>
        <v>0.98932384341637014</v>
      </c>
      <c r="AK18" s="6">
        <f t="shared" si="8"/>
        <v>1</v>
      </c>
      <c r="AL18" s="6">
        <f t="shared" si="9"/>
        <v>0.9443545778065352</v>
      </c>
      <c r="AM18" s="35"/>
    </row>
    <row r="19" spans="1:39" s="7" customFormat="1" x14ac:dyDescent="0.25">
      <c r="A19" s="44">
        <f t="shared" si="6"/>
        <v>46036</v>
      </c>
      <c r="B19" s="45">
        <f t="shared" si="3"/>
        <v>46036</v>
      </c>
      <c r="C19" s="46" t="s">
        <v>23</v>
      </c>
      <c r="D19" s="9" t="s">
        <v>45</v>
      </c>
      <c r="E19" s="10">
        <v>1035</v>
      </c>
      <c r="F19" s="34">
        <v>1020</v>
      </c>
      <c r="G19" s="26">
        <v>0</v>
      </c>
      <c r="H19" s="11">
        <v>660</v>
      </c>
      <c r="I19" s="11">
        <f t="shared" si="4"/>
        <v>30</v>
      </c>
      <c r="J19" s="48">
        <f t="shared" si="0"/>
        <v>630</v>
      </c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>
        <f t="shared" si="5"/>
        <v>30</v>
      </c>
      <c r="AA19" s="21"/>
      <c r="AB19" s="21"/>
      <c r="AC19" s="21"/>
      <c r="AD19" s="21"/>
      <c r="AE19" s="21"/>
      <c r="AF19" s="21"/>
      <c r="AG19" s="21"/>
      <c r="AH19" s="49">
        <f t="shared" si="7"/>
        <v>30</v>
      </c>
      <c r="AI19" s="6">
        <f t="shared" si="1"/>
        <v>0.95454545454545459</v>
      </c>
      <c r="AJ19" s="6">
        <f t="shared" si="2"/>
        <v>0.98550724637681164</v>
      </c>
      <c r="AK19" s="6">
        <f t="shared" si="8"/>
        <v>1</v>
      </c>
      <c r="AL19" s="6">
        <f t="shared" si="9"/>
        <v>0.94071146245059301</v>
      </c>
      <c r="AM19" s="35"/>
    </row>
    <row r="20" spans="1:39" s="7" customFormat="1" x14ac:dyDescent="0.25">
      <c r="A20" s="44">
        <f t="shared" si="6"/>
        <v>46037</v>
      </c>
      <c r="B20" s="45">
        <f t="shared" si="3"/>
        <v>46037</v>
      </c>
      <c r="C20" s="46" t="s">
        <v>23</v>
      </c>
      <c r="D20" s="9" t="s">
        <v>45</v>
      </c>
      <c r="E20" s="10">
        <v>1410</v>
      </c>
      <c r="F20" s="34">
        <v>1395</v>
      </c>
      <c r="G20" s="26">
        <v>0</v>
      </c>
      <c r="H20" s="11">
        <v>660</v>
      </c>
      <c r="I20" s="11">
        <f t="shared" si="4"/>
        <v>30</v>
      </c>
      <c r="J20" s="48">
        <f t="shared" si="0"/>
        <v>630</v>
      </c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>
        <f t="shared" si="5"/>
        <v>30</v>
      </c>
      <c r="AA20" s="21"/>
      <c r="AB20" s="21"/>
      <c r="AC20" s="21"/>
      <c r="AD20" s="21"/>
      <c r="AE20" s="21"/>
      <c r="AF20" s="21"/>
      <c r="AG20" s="21"/>
      <c r="AH20" s="49">
        <f t="shared" si="7"/>
        <v>30</v>
      </c>
      <c r="AI20" s="6">
        <f t="shared" si="1"/>
        <v>0.95454545454545459</v>
      </c>
      <c r="AJ20" s="6">
        <f t="shared" si="2"/>
        <v>0.98936170212765961</v>
      </c>
      <c r="AK20" s="6">
        <f t="shared" si="8"/>
        <v>1</v>
      </c>
      <c r="AL20" s="6">
        <f t="shared" si="9"/>
        <v>0.94439071566731148</v>
      </c>
      <c r="AM20" s="35"/>
    </row>
    <row r="21" spans="1:39" s="7" customFormat="1" x14ac:dyDescent="0.25">
      <c r="A21" s="44">
        <f t="shared" si="6"/>
        <v>46038</v>
      </c>
      <c r="B21" s="45">
        <f t="shared" si="3"/>
        <v>46038</v>
      </c>
      <c r="C21" s="46" t="s">
        <v>23</v>
      </c>
      <c r="D21" s="9" t="s">
        <v>45</v>
      </c>
      <c r="E21" s="10">
        <v>1390</v>
      </c>
      <c r="F21" s="34">
        <v>1375</v>
      </c>
      <c r="G21" s="26">
        <v>0</v>
      </c>
      <c r="H21" s="11">
        <v>480</v>
      </c>
      <c r="I21" s="11">
        <f t="shared" si="4"/>
        <v>30</v>
      </c>
      <c r="J21" s="48">
        <f t="shared" si="0"/>
        <v>450</v>
      </c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>
        <f t="shared" si="5"/>
        <v>30</v>
      </c>
      <c r="AA21" s="21"/>
      <c r="AB21" s="21"/>
      <c r="AC21" s="21"/>
      <c r="AD21" s="21"/>
      <c r="AE21" s="21"/>
      <c r="AF21" s="21"/>
      <c r="AG21" s="21"/>
      <c r="AH21" s="49">
        <f t="shared" si="7"/>
        <v>30</v>
      </c>
      <c r="AI21" s="6">
        <f t="shared" si="1"/>
        <v>0.9375</v>
      </c>
      <c r="AJ21" s="6">
        <f t="shared" si="2"/>
        <v>0.98920863309352514</v>
      </c>
      <c r="AK21" s="6">
        <f t="shared" si="8"/>
        <v>1</v>
      </c>
      <c r="AL21" s="6">
        <f t="shared" si="9"/>
        <v>0.92738309352517978</v>
      </c>
      <c r="AM21" s="35"/>
    </row>
    <row r="22" spans="1:39" s="7" customFormat="1" x14ac:dyDescent="0.25">
      <c r="A22" s="44">
        <f t="shared" si="6"/>
        <v>46039</v>
      </c>
      <c r="B22" s="45">
        <f t="shared" si="3"/>
        <v>46039</v>
      </c>
      <c r="C22" s="46" t="s">
        <v>23</v>
      </c>
      <c r="D22" s="9" t="s">
        <v>45</v>
      </c>
      <c r="E22" s="10">
        <v>1040</v>
      </c>
      <c r="F22" s="34">
        <v>1025</v>
      </c>
      <c r="G22" s="26">
        <v>0</v>
      </c>
      <c r="H22" s="11">
        <v>660</v>
      </c>
      <c r="I22" s="11">
        <f t="shared" si="4"/>
        <v>30</v>
      </c>
      <c r="J22" s="48">
        <f t="shared" si="0"/>
        <v>630</v>
      </c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>
        <f t="shared" si="5"/>
        <v>30</v>
      </c>
      <c r="AA22" s="21"/>
      <c r="AB22" s="21"/>
      <c r="AC22" s="21"/>
      <c r="AD22" s="21"/>
      <c r="AE22" s="21"/>
      <c r="AF22" s="21"/>
      <c r="AG22" s="21"/>
      <c r="AH22" s="49">
        <f t="shared" si="7"/>
        <v>30</v>
      </c>
      <c r="AI22" s="6">
        <f t="shared" si="1"/>
        <v>0.95454545454545459</v>
      </c>
      <c r="AJ22" s="6">
        <f t="shared" si="2"/>
        <v>0.98557692307692313</v>
      </c>
      <c r="AK22" s="6">
        <f t="shared" si="8"/>
        <v>1</v>
      </c>
      <c r="AL22" s="6">
        <f t="shared" si="9"/>
        <v>0.94077797202797209</v>
      </c>
      <c r="AM22" s="35"/>
    </row>
    <row r="23" spans="1:39" s="7" customFormat="1" x14ac:dyDescent="0.25">
      <c r="A23" s="44">
        <f t="shared" si="6"/>
        <v>46040</v>
      </c>
      <c r="B23" s="45">
        <f t="shared" si="3"/>
        <v>46040</v>
      </c>
      <c r="C23" s="46" t="s">
        <v>23</v>
      </c>
      <c r="D23" s="9" t="s">
        <v>45</v>
      </c>
      <c r="E23" s="10">
        <v>1415</v>
      </c>
      <c r="F23" s="34">
        <v>1400</v>
      </c>
      <c r="G23" s="26">
        <v>0</v>
      </c>
      <c r="H23" s="11">
        <v>660</v>
      </c>
      <c r="I23" s="11">
        <f t="shared" si="4"/>
        <v>30</v>
      </c>
      <c r="J23" s="48">
        <f t="shared" si="0"/>
        <v>630</v>
      </c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>
        <f t="shared" si="5"/>
        <v>30</v>
      </c>
      <c r="AA23" s="21"/>
      <c r="AB23" s="21"/>
      <c r="AC23" s="21"/>
      <c r="AD23" s="21"/>
      <c r="AE23" s="21"/>
      <c r="AF23" s="21"/>
      <c r="AG23" s="21"/>
      <c r="AH23" s="49">
        <f t="shared" si="7"/>
        <v>30</v>
      </c>
      <c r="AI23" s="6">
        <f t="shared" si="1"/>
        <v>0.95454545454545459</v>
      </c>
      <c r="AJ23" s="6">
        <f t="shared" si="2"/>
        <v>0.98939929328621912</v>
      </c>
      <c r="AK23" s="6">
        <f t="shared" si="8"/>
        <v>1</v>
      </c>
      <c r="AL23" s="6">
        <f t="shared" si="9"/>
        <v>0.9444265981368456</v>
      </c>
      <c r="AM23" s="260"/>
    </row>
    <row r="24" spans="1:39" s="7" customFormat="1" x14ac:dyDescent="0.25">
      <c r="A24" s="44">
        <f t="shared" si="6"/>
        <v>46041</v>
      </c>
      <c r="B24" s="45">
        <f t="shared" si="3"/>
        <v>46041</v>
      </c>
      <c r="C24" s="46" t="s">
        <v>23</v>
      </c>
      <c r="D24" s="9" t="s">
        <v>45</v>
      </c>
      <c r="E24" s="10">
        <v>1415</v>
      </c>
      <c r="F24" s="34">
        <v>1400</v>
      </c>
      <c r="G24" s="26">
        <v>0</v>
      </c>
      <c r="H24" s="11">
        <v>660</v>
      </c>
      <c r="I24" s="11">
        <f t="shared" si="4"/>
        <v>30</v>
      </c>
      <c r="J24" s="48">
        <f t="shared" si="0"/>
        <v>630</v>
      </c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>
        <f t="shared" si="5"/>
        <v>30</v>
      </c>
      <c r="AA24" s="21"/>
      <c r="AB24" s="21"/>
      <c r="AC24" s="21"/>
      <c r="AD24" s="21"/>
      <c r="AE24" s="21"/>
      <c r="AF24" s="21"/>
      <c r="AG24" s="21"/>
      <c r="AH24" s="49">
        <f t="shared" si="7"/>
        <v>30</v>
      </c>
      <c r="AI24" s="6">
        <f t="shared" si="1"/>
        <v>0.95454545454545459</v>
      </c>
      <c r="AJ24" s="6">
        <f t="shared" si="2"/>
        <v>0.98939929328621912</v>
      </c>
      <c r="AK24" s="6">
        <f t="shared" si="8"/>
        <v>1</v>
      </c>
      <c r="AL24" s="6">
        <f t="shared" si="9"/>
        <v>0.9444265981368456</v>
      </c>
      <c r="AM24" s="260"/>
    </row>
    <row r="25" spans="1:39" s="7" customFormat="1" x14ac:dyDescent="0.25">
      <c r="A25" s="44">
        <f t="shared" si="6"/>
        <v>46042</v>
      </c>
      <c r="B25" s="45">
        <f t="shared" si="3"/>
        <v>46042</v>
      </c>
      <c r="C25" s="46" t="s">
        <v>23</v>
      </c>
      <c r="D25" s="9" t="s">
        <v>45</v>
      </c>
      <c r="E25" s="10">
        <v>1410</v>
      </c>
      <c r="F25" s="34">
        <v>1395</v>
      </c>
      <c r="G25" s="26">
        <v>0</v>
      </c>
      <c r="H25" s="11">
        <v>660</v>
      </c>
      <c r="I25" s="11">
        <f t="shared" si="4"/>
        <v>30</v>
      </c>
      <c r="J25" s="48">
        <f t="shared" si="0"/>
        <v>630</v>
      </c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>
        <f t="shared" si="5"/>
        <v>30</v>
      </c>
      <c r="AA25" s="21"/>
      <c r="AB25" s="21"/>
      <c r="AC25" s="21"/>
      <c r="AD25" s="21"/>
      <c r="AE25" s="21"/>
      <c r="AF25" s="21"/>
      <c r="AG25" s="21"/>
      <c r="AH25" s="49">
        <f t="shared" si="7"/>
        <v>30</v>
      </c>
      <c r="AI25" s="6">
        <f t="shared" si="1"/>
        <v>0.95454545454545459</v>
      </c>
      <c r="AJ25" s="6">
        <f t="shared" si="2"/>
        <v>0.98936170212765961</v>
      </c>
      <c r="AK25" s="6">
        <f t="shared" si="8"/>
        <v>1</v>
      </c>
      <c r="AL25" s="6">
        <f t="shared" si="9"/>
        <v>0.94439071566731148</v>
      </c>
      <c r="AM25" s="35"/>
    </row>
    <row r="26" spans="1:39" s="7" customFormat="1" x14ac:dyDescent="0.25">
      <c r="A26" s="44">
        <f t="shared" si="6"/>
        <v>46043</v>
      </c>
      <c r="B26" s="45">
        <f t="shared" si="3"/>
        <v>46043</v>
      </c>
      <c r="C26" s="46" t="s">
        <v>23</v>
      </c>
      <c r="D26" s="9" t="s">
        <v>45</v>
      </c>
      <c r="E26" s="10">
        <v>1410</v>
      </c>
      <c r="F26" s="34">
        <v>1395</v>
      </c>
      <c r="G26" s="26">
        <v>0</v>
      </c>
      <c r="H26" s="11">
        <v>660</v>
      </c>
      <c r="I26" s="11">
        <f t="shared" si="4"/>
        <v>30</v>
      </c>
      <c r="J26" s="48">
        <f t="shared" si="0"/>
        <v>630</v>
      </c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>
        <f t="shared" si="5"/>
        <v>30</v>
      </c>
      <c r="AA26" s="21"/>
      <c r="AB26" s="21"/>
      <c r="AC26" s="21"/>
      <c r="AD26" s="21"/>
      <c r="AE26" s="21"/>
      <c r="AF26" s="21"/>
      <c r="AG26" s="21"/>
      <c r="AH26" s="49">
        <f t="shared" si="7"/>
        <v>30</v>
      </c>
      <c r="AI26" s="6">
        <f t="shared" si="1"/>
        <v>0.95454545454545459</v>
      </c>
      <c r="AJ26" s="6">
        <f t="shared" si="2"/>
        <v>0.98936170212765961</v>
      </c>
      <c r="AK26" s="6">
        <f t="shared" si="8"/>
        <v>1</v>
      </c>
      <c r="AL26" s="6">
        <f t="shared" si="9"/>
        <v>0.94439071566731148</v>
      </c>
      <c r="AM26" s="35"/>
    </row>
    <row r="27" spans="1:39" s="7" customFormat="1" x14ac:dyDescent="0.25">
      <c r="A27" s="44">
        <f t="shared" si="6"/>
        <v>46044</v>
      </c>
      <c r="B27" s="45">
        <f t="shared" si="3"/>
        <v>46044</v>
      </c>
      <c r="C27" s="46" t="s">
        <v>23</v>
      </c>
      <c r="D27" s="9" t="s">
        <v>45</v>
      </c>
      <c r="E27" s="10">
        <v>790</v>
      </c>
      <c r="F27" s="34">
        <v>775</v>
      </c>
      <c r="G27" s="26">
        <v>0</v>
      </c>
      <c r="H27" s="11">
        <v>660</v>
      </c>
      <c r="I27" s="11">
        <f t="shared" si="4"/>
        <v>30</v>
      </c>
      <c r="J27" s="48">
        <f t="shared" si="0"/>
        <v>630</v>
      </c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>
        <f t="shared" si="5"/>
        <v>30</v>
      </c>
      <c r="AA27" s="21"/>
      <c r="AB27" s="21"/>
      <c r="AC27" s="21"/>
      <c r="AD27" s="21"/>
      <c r="AE27" s="21"/>
      <c r="AF27" s="21"/>
      <c r="AG27" s="21"/>
      <c r="AH27" s="49">
        <f t="shared" si="7"/>
        <v>30</v>
      </c>
      <c r="AI27" s="6">
        <f t="shared" si="1"/>
        <v>0.95454545454545459</v>
      </c>
      <c r="AJ27" s="6">
        <f t="shared" si="2"/>
        <v>0.98101265822784811</v>
      </c>
      <c r="AK27" s="6">
        <f t="shared" si="8"/>
        <v>1</v>
      </c>
      <c r="AL27" s="6">
        <f t="shared" si="9"/>
        <v>0.93642117376294598</v>
      </c>
      <c r="AM27" s="35"/>
    </row>
    <row r="28" spans="1:39" s="7" customFormat="1" x14ac:dyDescent="0.25">
      <c r="A28" s="44">
        <f t="shared" si="6"/>
        <v>46045</v>
      </c>
      <c r="B28" s="45">
        <f t="shared" si="3"/>
        <v>46045</v>
      </c>
      <c r="C28" s="46" t="s">
        <v>23</v>
      </c>
      <c r="D28" s="9" t="s">
        <v>45</v>
      </c>
      <c r="E28" s="10"/>
      <c r="F28" s="34">
        <v>0</v>
      </c>
      <c r="G28" s="26">
        <v>0</v>
      </c>
      <c r="H28" s="11"/>
      <c r="I28" s="11">
        <f t="shared" si="4"/>
        <v>0</v>
      </c>
      <c r="J28" s="48">
        <f t="shared" si="0"/>
        <v>0</v>
      </c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>
        <f t="shared" si="5"/>
        <v>0</v>
      </c>
      <c r="AA28" s="21"/>
      <c r="AB28" s="21"/>
      <c r="AC28" s="21"/>
      <c r="AD28" s="21"/>
      <c r="AE28" s="21"/>
      <c r="AF28" s="21"/>
      <c r="AG28" s="21"/>
      <c r="AH28" s="49">
        <f t="shared" si="7"/>
        <v>0</v>
      </c>
      <c r="AI28" s="6" t="str">
        <f t="shared" si="1"/>
        <v>0</v>
      </c>
      <c r="AJ28" s="6" t="str">
        <f t="shared" si="2"/>
        <v>0</v>
      </c>
      <c r="AK28" s="6" t="str">
        <f t="shared" si="8"/>
        <v>0</v>
      </c>
      <c r="AL28" s="6">
        <f t="shared" si="9"/>
        <v>0</v>
      </c>
      <c r="AM28" s="35"/>
    </row>
    <row r="29" spans="1:39" s="7" customFormat="1" x14ac:dyDescent="0.25">
      <c r="A29" s="44">
        <f t="shared" si="6"/>
        <v>46046</v>
      </c>
      <c r="B29" s="45">
        <f t="shared" si="3"/>
        <v>46046</v>
      </c>
      <c r="C29" s="46" t="s">
        <v>23</v>
      </c>
      <c r="D29" s="9" t="s">
        <v>45</v>
      </c>
      <c r="E29" s="10">
        <v>1405</v>
      </c>
      <c r="F29" s="34">
        <v>1390</v>
      </c>
      <c r="G29" s="26">
        <v>0</v>
      </c>
      <c r="H29" s="11">
        <v>660</v>
      </c>
      <c r="I29" s="11">
        <f t="shared" si="4"/>
        <v>30</v>
      </c>
      <c r="J29" s="48">
        <f t="shared" si="0"/>
        <v>630</v>
      </c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>
        <f t="shared" si="5"/>
        <v>30</v>
      </c>
      <c r="AA29" s="21"/>
      <c r="AB29" s="21"/>
      <c r="AC29" s="21"/>
      <c r="AD29" s="21"/>
      <c r="AE29" s="21"/>
      <c r="AF29" s="21"/>
      <c r="AG29" s="21"/>
      <c r="AH29" s="49">
        <f t="shared" si="7"/>
        <v>30</v>
      </c>
      <c r="AI29" s="6">
        <f t="shared" si="1"/>
        <v>0.95454545454545459</v>
      </c>
      <c r="AJ29" s="6">
        <f t="shared" si="2"/>
        <v>0.98932384341637014</v>
      </c>
      <c r="AK29" s="6">
        <f t="shared" si="8"/>
        <v>1</v>
      </c>
      <c r="AL29" s="6">
        <f t="shared" si="9"/>
        <v>0.9443545778065352</v>
      </c>
      <c r="AM29" s="35"/>
    </row>
    <row r="30" spans="1:39" s="7" customFormat="1" x14ac:dyDescent="0.25">
      <c r="A30" s="44">
        <f t="shared" si="6"/>
        <v>46047</v>
      </c>
      <c r="B30" s="45">
        <f t="shared" si="3"/>
        <v>46047</v>
      </c>
      <c r="C30" s="46" t="s">
        <v>23</v>
      </c>
      <c r="D30" s="9" t="s">
        <v>45</v>
      </c>
      <c r="E30" s="10">
        <v>1335</v>
      </c>
      <c r="F30" s="34">
        <v>1320</v>
      </c>
      <c r="G30" s="26">
        <v>0</v>
      </c>
      <c r="H30" s="11">
        <v>660</v>
      </c>
      <c r="I30" s="11">
        <f t="shared" si="4"/>
        <v>30</v>
      </c>
      <c r="J30" s="48">
        <f t="shared" si="0"/>
        <v>630</v>
      </c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>
        <f t="shared" si="5"/>
        <v>30</v>
      </c>
      <c r="AA30" s="21"/>
      <c r="AB30" s="21"/>
      <c r="AC30" s="21"/>
      <c r="AD30" s="21"/>
      <c r="AE30" s="21"/>
      <c r="AF30" s="21"/>
      <c r="AG30" s="21"/>
      <c r="AH30" s="49">
        <f t="shared" si="7"/>
        <v>30</v>
      </c>
      <c r="AI30" s="6">
        <f t="shared" si="1"/>
        <v>0.95454545454545459</v>
      </c>
      <c r="AJ30" s="6">
        <f t="shared" si="2"/>
        <v>0.9887640449438202</v>
      </c>
      <c r="AK30" s="6">
        <f t="shared" si="8"/>
        <v>1</v>
      </c>
      <c r="AL30" s="6">
        <f t="shared" si="9"/>
        <v>0.9438202247191011</v>
      </c>
      <c r="AM30" s="35"/>
    </row>
    <row r="31" spans="1:39" s="7" customFormat="1" x14ac:dyDescent="0.25">
      <c r="A31" s="44">
        <f t="shared" si="6"/>
        <v>46048</v>
      </c>
      <c r="B31" s="45">
        <f t="shared" si="3"/>
        <v>46048</v>
      </c>
      <c r="C31" s="46" t="s">
        <v>23</v>
      </c>
      <c r="D31" s="9" t="s">
        <v>45</v>
      </c>
      <c r="E31" s="10">
        <v>1415</v>
      </c>
      <c r="F31" s="34">
        <v>1400</v>
      </c>
      <c r="G31" s="26">
        <v>0</v>
      </c>
      <c r="H31" s="11">
        <v>480</v>
      </c>
      <c r="I31" s="11">
        <f t="shared" si="4"/>
        <v>30</v>
      </c>
      <c r="J31" s="48">
        <f t="shared" si="0"/>
        <v>450</v>
      </c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>
        <f t="shared" si="5"/>
        <v>30</v>
      </c>
      <c r="AA31" s="21"/>
      <c r="AB31" s="21"/>
      <c r="AC31" s="21"/>
      <c r="AD31" s="21"/>
      <c r="AE31" s="21"/>
      <c r="AF31" s="21"/>
      <c r="AG31" s="21"/>
      <c r="AH31" s="49">
        <f t="shared" si="7"/>
        <v>30</v>
      </c>
      <c r="AI31" s="6">
        <f t="shared" si="1"/>
        <v>0.9375</v>
      </c>
      <c r="AJ31" s="6">
        <f t="shared" si="2"/>
        <v>0.98939929328621912</v>
      </c>
      <c r="AK31" s="6">
        <f t="shared" si="8"/>
        <v>1</v>
      </c>
      <c r="AL31" s="6">
        <f t="shared" si="9"/>
        <v>0.92756183745583043</v>
      </c>
      <c r="AM31" s="35"/>
    </row>
    <row r="32" spans="1:39" s="7" customFormat="1" x14ac:dyDescent="0.25">
      <c r="A32" s="44">
        <f t="shared" si="6"/>
        <v>46049</v>
      </c>
      <c r="B32" s="45">
        <f t="shared" si="3"/>
        <v>46049</v>
      </c>
      <c r="C32" s="46" t="s">
        <v>23</v>
      </c>
      <c r="D32" s="9" t="s">
        <v>45</v>
      </c>
      <c r="E32" s="10">
        <v>1040</v>
      </c>
      <c r="F32" s="34">
        <v>1025</v>
      </c>
      <c r="G32" s="26">
        <v>0</v>
      </c>
      <c r="H32" s="11">
        <v>480</v>
      </c>
      <c r="I32" s="11">
        <f t="shared" si="4"/>
        <v>30</v>
      </c>
      <c r="J32" s="48">
        <f t="shared" si="0"/>
        <v>450</v>
      </c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>
        <f t="shared" si="5"/>
        <v>30</v>
      </c>
      <c r="AA32" s="21"/>
      <c r="AB32" s="21"/>
      <c r="AC32" s="21"/>
      <c r="AD32" s="21"/>
      <c r="AE32" s="21"/>
      <c r="AF32" s="21"/>
      <c r="AG32" s="21"/>
      <c r="AH32" s="49">
        <f t="shared" si="7"/>
        <v>30</v>
      </c>
      <c r="AI32" s="6">
        <f t="shared" si="1"/>
        <v>0.9375</v>
      </c>
      <c r="AJ32" s="6">
        <f t="shared" si="2"/>
        <v>0.98557692307692313</v>
      </c>
      <c r="AK32" s="6">
        <f t="shared" si="8"/>
        <v>1</v>
      </c>
      <c r="AL32" s="6">
        <f t="shared" si="9"/>
        <v>0.92397836538461542</v>
      </c>
      <c r="AM32" s="35"/>
    </row>
    <row r="33" spans="1:39" s="7" customFormat="1" x14ac:dyDescent="0.25">
      <c r="A33" s="44">
        <f t="shared" si="6"/>
        <v>46050</v>
      </c>
      <c r="B33" s="45">
        <f t="shared" si="3"/>
        <v>46050</v>
      </c>
      <c r="C33" s="46" t="s">
        <v>23</v>
      </c>
      <c r="D33" s="9" t="s">
        <v>45</v>
      </c>
      <c r="E33" s="10">
        <v>685</v>
      </c>
      <c r="F33" s="34">
        <v>670</v>
      </c>
      <c r="G33" s="26">
        <v>0</v>
      </c>
      <c r="H33" s="11">
        <v>480</v>
      </c>
      <c r="I33" s="11">
        <f t="shared" si="4"/>
        <v>30</v>
      </c>
      <c r="J33" s="48">
        <f t="shared" si="0"/>
        <v>450</v>
      </c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>
        <f t="shared" si="5"/>
        <v>30</v>
      </c>
      <c r="AA33" s="21"/>
      <c r="AB33" s="21"/>
      <c r="AC33" s="21"/>
      <c r="AD33" s="21"/>
      <c r="AE33" s="21"/>
      <c r="AF33" s="21"/>
      <c r="AG33" s="21"/>
      <c r="AH33" s="49">
        <f t="shared" si="7"/>
        <v>30</v>
      </c>
      <c r="AI33" s="6">
        <f t="shared" si="1"/>
        <v>0.9375</v>
      </c>
      <c r="AJ33" s="6">
        <f>IFERROR(F33/E33,"0")</f>
        <v>0.97810218978102192</v>
      </c>
      <c r="AK33" s="6">
        <f>IFERROR(F33/(F33+G33),"0")</f>
        <v>1</v>
      </c>
      <c r="AL33" s="6">
        <f t="shared" si="9"/>
        <v>0.91697080291970801</v>
      </c>
      <c r="AM33" s="35"/>
    </row>
    <row r="34" spans="1:39" s="7" customFormat="1" x14ac:dyDescent="0.25">
      <c r="A34" s="44">
        <f t="shared" si="6"/>
        <v>46051</v>
      </c>
      <c r="B34" s="45">
        <f t="shared" si="3"/>
        <v>46051</v>
      </c>
      <c r="C34" s="46" t="s">
        <v>23</v>
      </c>
      <c r="D34" s="9" t="s">
        <v>45</v>
      </c>
      <c r="E34" s="10">
        <v>975</v>
      </c>
      <c r="F34" s="34">
        <v>960</v>
      </c>
      <c r="G34" s="26">
        <v>0</v>
      </c>
      <c r="H34" s="11">
        <v>480</v>
      </c>
      <c r="I34" s="11">
        <f t="shared" si="4"/>
        <v>30</v>
      </c>
      <c r="J34" s="48">
        <f t="shared" si="0"/>
        <v>450</v>
      </c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>
        <f t="shared" si="5"/>
        <v>30</v>
      </c>
      <c r="AA34" s="21"/>
      <c r="AB34" s="21"/>
      <c r="AC34" s="21"/>
      <c r="AD34" s="21"/>
      <c r="AE34" s="21"/>
      <c r="AF34" s="21"/>
      <c r="AG34" s="21"/>
      <c r="AH34" s="49">
        <f t="shared" si="7"/>
        <v>30</v>
      </c>
      <c r="AI34" s="6">
        <f t="shared" si="1"/>
        <v>0.9375</v>
      </c>
      <c r="AJ34" s="6">
        <f>IFERROR(F34/E34,"0")</f>
        <v>0.98461538461538467</v>
      </c>
      <c r="AK34" s="6">
        <f>IFERROR(F34/(F34+G34),"0")</f>
        <v>1</v>
      </c>
      <c r="AL34" s="6">
        <f t="shared" si="9"/>
        <v>0.92307692307692313</v>
      </c>
      <c r="AM34" s="35"/>
    </row>
    <row r="35" spans="1:39" s="7" customFormat="1" x14ac:dyDescent="0.25">
      <c r="A35" s="44">
        <f t="shared" si="6"/>
        <v>46052</v>
      </c>
      <c r="B35" s="45">
        <f t="shared" si="3"/>
        <v>46052</v>
      </c>
      <c r="C35" s="46" t="s">
        <v>23</v>
      </c>
      <c r="D35" s="9" t="s">
        <v>45</v>
      </c>
      <c r="E35" s="10">
        <v>1020</v>
      </c>
      <c r="F35" s="34">
        <v>1005</v>
      </c>
      <c r="G35" s="26">
        <v>0</v>
      </c>
      <c r="H35" s="11">
        <v>480</v>
      </c>
      <c r="I35" s="11">
        <f t="shared" si="4"/>
        <v>30</v>
      </c>
      <c r="J35" s="48">
        <f t="shared" si="0"/>
        <v>450</v>
      </c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>
        <f t="shared" si="5"/>
        <v>30</v>
      </c>
      <c r="AA35" s="21"/>
      <c r="AB35" s="21"/>
      <c r="AC35" s="21"/>
      <c r="AD35" s="21"/>
      <c r="AE35" s="21"/>
      <c r="AF35" s="21"/>
      <c r="AG35" s="21"/>
      <c r="AH35" s="49">
        <f t="shared" si="7"/>
        <v>30</v>
      </c>
      <c r="AI35" s="6">
        <f t="shared" si="1"/>
        <v>0.9375</v>
      </c>
      <c r="AJ35" s="6">
        <f t="shared" si="2"/>
        <v>0.98529411764705888</v>
      </c>
      <c r="AK35" s="6">
        <f t="shared" si="8"/>
        <v>1</v>
      </c>
      <c r="AL35" s="6">
        <f t="shared" si="9"/>
        <v>0.92371323529411775</v>
      </c>
      <c r="AM35" s="35"/>
    </row>
    <row r="36" spans="1:39" s="7" customFormat="1" x14ac:dyDescent="0.25">
      <c r="A36" s="44">
        <f t="shared" si="6"/>
        <v>46053</v>
      </c>
      <c r="B36" s="45">
        <f t="shared" si="3"/>
        <v>46053</v>
      </c>
      <c r="C36" s="46" t="s">
        <v>23</v>
      </c>
      <c r="D36" s="9" t="s">
        <v>45</v>
      </c>
      <c r="E36" s="10">
        <v>1025</v>
      </c>
      <c r="F36" s="34">
        <v>1010</v>
      </c>
      <c r="G36" s="26">
        <v>0</v>
      </c>
      <c r="H36" s="11">
        <v>480</v>
      </c>
      <c r="I36" s="11">
        <f t="shared" si="4"/>
        <v>30</v>
      </c>
      <c r="J36" s="48">
        <f t="shared" si="0"/>
        <v>450</v>
      </c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>
        <f t="shared" si="5"/>
        <v>30</v>
      </c>
      <c r="AA36" s="21"/>
      <c r="AB36" s="21"/>
      <c r="AC36" s="21"/>
      <c r="AD36" s="21"/>
      <c r="AE36" s="21"/>
      <c r="AF36" s="21"/>
      <c r="AG36" s="21"/>
      <c r="AH36" s="49">
        <f t="shared" si="7"/>
        <v>30</v>
      </c>
      <c r="AI36" s="6">
        <f t="shared" si="1"/>
        <v>0.9375</v>
      </c>
      <c r="AJ36" s="6">
        <f t="shared" si="2"/>
        <v>0.98536585365853657</v>
      </c>
      <c r="AK36" s="6">
        <f t="shared" si="8"/>
        <v>1</v>
      </c>
      <c r="AL36" s="6">
        <f t="shared" si="9"/>
        <v>0.92378048780487809</v>
      </c>
      <c r="AM36" s="35"/>
    </row>
    <row r="37" spans="1:39" s="12" customFormat="1" ht="14.25" x14ac:dyDescent="0.25">
      <c r="A37" s="313" t="s">
        <v>34</v>
      </c>
      <c r="B37" s="314"/>
      <c r="C37" s="314"/>
      <c r="D37" s="315"/>
      <c r="E37" s="23">
        <v>36297</v>
      </c>
      <c r="F37" s="23">
        <f t="shared" ref="F37:AH37" si="10">SUM(F6:F36)</f>
        <v>35862</v>
      </c>
      <c r="G37" s="23">
        <f t="shared" si="10"/>
        <v>0</v>
      </c>
      <c r="H37" s="23">
        <f t="shared" si="10"/>
        <v>17700</v>
      </c>
      <c r="I37" s="23">
        <f t="shared" si="10"/>
        <v>870</v>
      </c>
      <c r="J37" s="23">
        <f t="shared" si="10"/>
        <v>16830</v>
      </c>
      <c r="K37" s="23">
        <f t="shared" si="10"/>
        <v>0</v>
      </c>
      <c r="L37" s="23">
        <f t="shared" si="10"/>
        <v>0</v>
      </c>
      <c r="M37" s="23">
        <f t="shared" si="10"/>
        <v>0</v>
      </c>
      <c r="N37" s="23">
        <f t="shared" si="10"/>
        <v>0</v>
      </c>
      <c r="O37" s="23">
        <f t="shared" si="10"/>
        <v>0</v>
      </c>
      <c r="P37" s="23">
        <f t="shared" si="10"/>
        <v>0</v>
      </c>
      <c r="Q37" s="23">
        <f t="shared" si="10"/>
        <v>0</v>
      </c>
      <c r="R37" s="23">
        <f t="shared" si="10"/>
        <v>0</v>
      </c>
      <c r="S37" s="23">
        <f t="shared" si="10"/>
        <v>0</v>
      </c>
      <c r="T37" s="23">
        <f t="shared" si="10"/>
        <v>0</v>
      </c>
      <c r="U37" s="23">
        <f t="shared" si="10"/>
        <v>0</v>
      </c>
      <c r="V37" s="23">
        <f t="shared" si="10"/>
        <v>0</v>
      </c>
      <c r="W37" s="23">
        <f t="shared" si="10"/>
        <v>0</v>
      </c>
      <c r="X37" s="23">
        <f t="shared" si="10"/>
        <v>0</v>
      </c>
      <c r="Y37" s="23">
        <f t="shared" si="10"/>
        <v>0</v>
      </c>
      <c r="Z37" s="23">
        <f t="shared" si="10"/>
        <v>870</v>
      </c>
      <c r="AA37" s="23">
        <f t="shared" si="10"/>
        <v>0</v>
      </c>
      <c r="AB37" s="23">
        <f t="shared" si="10"/>
        <v>0</v>
      </c>
      <c r="AC37" s="23">
        <f t="shared" si="10"/>
        <v>0</v>
      </c>
      <c r="AD37" s="23">
        <f t="shared" si="10"/>
        <v>0</v>
      </c>
      <c r="AE37" s="23">
        <f t="shared" si="10"/>
        <v>0</v>
      </c>
      <c r="AF37" s="23">
        <f t="shared" si="10"/>
        <v>0</v>
      </c>
      <c r="AG37" s="23">
        <f t="shared" si="10"/>
        <v>0</v>
      </c>
      <c r="AH37" s="23">
        <f t="shared" si="10"/>
        <v>870</v>
      </c>
      <c r="AI37" s="80">
        <f>IFERROR(J37/H37,0)</f>
        <v>0.95084745762711864</v>
      </c>
      <c r="AJ37" s="80">
        <f>IFERROR(F37/E37,0)</f>
        <v>0.98801553847425405</v>
      </c>
      <c r="AK37" s="80">
        <f>IFERROR(F37/(F37+G37),0)</f>
        <v>1</v>
      </c>
      <c r="AL37" s="80">
        <f>IFERROR(AK37*AJ37*AI37,0)</f>
        <v>0.93945206285433314</v>
      </c>
      <c r="AM37" s="81"/>
    </row>
    <row r="41" spans="1:39" x14ac:dyDescent="0.25">
      <c r="E41" s="292"/>
      <c r="AI41" s="15"/>
      <c r="AJ41" s="15"/>
      <c r="AK41" s="15"/>
    </row>
  </sheetData>
  <autoFilter ref="F1:F41" xr:uid="{454C9F63-6D65-47C2-AB82-3E668FDD6108}"/>
  <mergeCells count="5">
    <mergeCell ref="A1:AM1"/>
    <mergeCell ref="A2:AM2"/>
    <mergeCell ref="A37:D37"/>
    <mergeCell ref="A4:J4"/>
    <mergeCell ref="AH4:AM4"/>
  </mergeCells>
  <conditionalFormatting sqref="J6:AL6 F7:AL9 F10:AM36 A6:H6 A7:E36">
    <cfRule type="expression" dxfId="61" priority="4">
      <formula>TEXT($A6,"ddd")="Fri"</formula>
    </cfRule>
  </conditionalFormatting>
  <conditionalFormatting sqref="K6:AG36">
    <cfRule type="cellIs" dxfId="60" priority="3" operator="greaterThan">
      <formula>0</formula>
    </cfRule>
  </conditionalFormatting>
  <conditionalFormatting sqref="AM6:AM9">
    <cfRule type="expression" dxfId="59" priority="1">
      <formula>TEXT($A6,"ddd")="Fri"</formula>
    </cfRule>
  </conditionalFormatting>
  <pageMargins left="0.1" right="0.25" top="0.53" bottom="0.03" header="0" footer="0"/>
  <pageSetup paperSize="9" scale="5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51863-D904-40C9-9DA7-213C1F020731}">
  <sheetPr>
    <tabColor rgb="FFFFC000"/>
  </sheetPr>
  <dimension ref="A1:BC166"/>
  <sheetViews>
    <sheetView showGridLines="0" zoomScale="90" zoomScaleNormal="90" workbookViewId="0">
      <pane xSplit="3" ySplit="5" topLeftCell="D50" activePane="bottomRight" state="frozen"/>
      <selection pane="topRight" activeCell="D1" sqref="D1"/>
      <selection pane="bottomLeft" activeCell="A5" sqref="A5"/>
      <selection pane="bottomRight" activeCell="I165" sqref="I165"/>
    </sheetView>
  </sheetViews>
  <sheetFormatPr defaultColWidth="9.140625" defaultRowHeight="12.75" outlineLevelCol="1" x14ac:dyDescent="0.25"/>
  <cols>
    <col min="1" max="1" width="10.5703125" style="1" customWidth="1"/>
    <col min="2" max="2" width="4.85546875" style="1" bestFit="1" customWidth="1"/>
    <col min="3" max="3" width="8.42578125" style="13" bestFit="1" customWidth="1"/>
    <col min="4" max="4" width="12.5703125" style="1" bestFit="1" customWidth="1"/>
    <col min="5" max="6" width="7" style="1" bestFit="1" customWidth="1"/>
    <col min="7" max="7" width="4" style="1" bestFit="1" customWidth="1"/>
    <col min="8" max="10" width="6" style="1" bestFit="1" customWidth="1"/>
    <col min="11" max="11" width="3.140625" style="1" bestFit="1" customWidth="1" outlineLevel="1"/>
    <col min="12" max="12" width="4" style="1" bestFit="1" customWidth="1" outlineLevel="1"/>
    <col min="13" max="13" width="6" style="1" bestFit="1" customWidth="1" outlineLevel="1"/>
    <col min="14" max="14" width="5" style="1" bestFit="1" customWidth="1" outlineLevel="1"/>
    <col min="15" max="15" width="4" style="1" bestFit="1" customWidth="1" outlineLevel="1"/>
    <col min="16" max="16" width="5.140625" style="1" customWidth="1" outlineLevel="1"/>
    <col min="17" max="18" width="4" style="1" bestFit="1" customWidth="1" outlineLevel="1"/>
    <col min="19" max="19" width="5" style="1" bestFit="1" customWidth="1" outlineLevel="1"/>
    <col min="20" max="20" width="5" style="1" customWidth="1" outlineLevel="1"/>
    <col min="21" max="21" width="4" style="1" bestFit="1" customWidth="1" outlineLevel="1"/>
    <col min="22" max="22" width="4.5703125" style="1" customWidth="1" outlineLevel="1"/>
    <col min="23" max="23" width="4" style="1" customWidth="1" outlineLevel="1"/>
    <col min="24" max="24" width="3.140625" style="1" bestFit="1" customWidth="1" outlineLevel="1"/>
    <col min="25" max="25" width="5" style="1" bestFit="1" customWidth="1" outlineLevel="1"/>
    <col min="26" max="26" width="3.140625" style="1" bestFit="1" customWidth="1" outlineLevel="1"/>
    <col min="27" max="27" width="5.28515625" style="1" bestFit="1" customWidth="1" outlineLevel="1"/>
    <col min="28" max="28" width="3.140625" style="1" bestFit="1" customWidth="1" outlineLevel="1"/>
    <col min="29" max="29" width="5" style="1" bestFit="1" customWidth="1" outlineLevel="1"/>
    <col min="30" max="30" width="5.28515625" style="1" bestFit="1" customWidth="1" outlineLevel="1"/>
    <col min="31" max="32" width="3.140625" style="1" bestFit="1" customWidth="1" outlineLevel="1"/>
    <col min="33" max="33" width="4" style="1" bestFit="1" customWidth="1" outlineLevel="1"/>
    <col min="34" max="36" width="3.140625" style="1" bestFit="1" customWidth="1" outlineLevel="1"/>
    <col min="37" max="37" width="6" style="14" bestFit="1" customWidth="1"/>
    <col min="38" max="38" width="6.140625" style="1" bestFit="1" customWidth="1"/>
    <col min="39" max="39" width="5.140625" style="1" bestFit="1" customWidth="1"/>
    <col min="40" max="40" width="6.5703125" style="1" bestFit="1" customWidth="1"/>
    <col min="41" max="41" width="5.140625" style="16" bestFit="1" customWidth="1"/>
    <col min="42" max="42" width="25.85546875" style="28" bestFit="1" customWidth="1"/>
    <col min="43" max="43" width="9.140625" style="1" bestFit="1" customWidth="1"/>
    <col min="44" max="16384" width="9.140625" style="1"/>
  </cols>
  <sheetData>
    <row r="1" spans="1:55" ht="25.5" x14ac:dyDescent="0.25">
      <c r="A1" s="316" t="s">
        <v>0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  <c r="AF1" s="317"/>
      <c r="AG1" s="317"/>
      <c r="AH1" s="317"/>
      <c r="AI1" s="317"/>
      <c r="AJ1" s="317"/>
      <c r="AK1" s="317"/>
      <c r="AL1" s="317"/>
      <c r="AM1" s="317"/>
      <c r="AN1" s="317"/>
      <c r="AO1" s="317"/>
      <c r="AP1" s="317"/>
    </row>
    <row r="2" spans="1:55" x14ac:dyDescent="0.25">
      <c r="A2" s="318" t="s">
        <v>1</v>
      </c>
      <c r="B2" s="319"/>
      <c r="C2" s="319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  <c r="AA2" s="319"/>
      <c r="AB2" s="319"/>
      <c r="AC2" s="319"/>
      <c r="AD2" s="319"/>
      <c r="AE2" s="319"/>
      <c r="AF2" s="319"/>
      <c r="AG2" s="319"/>
      <c r="AH2" s="319"/>
      <c r="AI2" s="319"/>
      <c r="AJ2" s="319"/>
      <c r="AK2" s="319"/>
      <c r="AL2" s="319"/>
      <c r="AM2" s="319"/>
      <c r="AN2" s="319"/>
      <c r="AO2" s="319"/>
      <c r="AP2" s="319"/>
      <c r="AR2" s="283">
        <v>46023</v>
      </c>
      <c r="AS2" s="283">
        <v>45689</v>
      </c>
      <c r="AT2" s="283">
        <v>45717</v>
      </c>
      <c r="AU2" s="283">
        <v>45748</v>
      </c>
      <c r="AV2" s="283">
        <v>45778</v>
      </c>
      <c r="AW2" s="283">
        <v>45809</v>
      </c>
      <c r="AX2" s="283">
        <v>45839</v>
      </c>
      <c r="AY2" s="283">
        <v>45870</v>
      </c>
      <c r="AZ2" s="283">
        <v>45901</v>
      </c>
      <c r="BA2" s="283">
        <v>45931</v>
      </c>
      <c r="BB2" s="283">
        <v>45962</v>
      </c>
      <c r="BC2" s="283">
        <v>45992</v>
      </c>
    </row>
    <row r="3" spans="1:55" x14ac:dyDescent="0.25">
      <c r="A3" s="216">
        <f>'Fan Lathe'!AM3</f>
        <v>46023</v>
      </c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4" t="str">
        <f>"Fan Power Press Section ("&amp;TEXT('Fan Lathe'!AM3,"mmmm yyyy")&amp;")"</f>
        <v>Fan Power Press Section (January 2026)</v>
      </c>
      <c r="Q3" s="215"/>
      <c r="R3" s="214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5"/>
      <c r="AD3" s="215"/>
      <c r="AE3" s="215"/>
      <c r="AF3" s="215"/>
      <c r="AG3" s="215"/>
      <c r="AH3" s="215"/>
      <c r="AI3" s="215"/>
      <c r="AJ3" s="215"/>
      <c r="AK3" s="215"/>
      <c r="AL3" s="215"/>
      <c r="AM3" s="215"/>
      <c r="AN3" s="215"/>
      <c r="AO3" s="215"/>
      <c r="AP3" s="215"/>
    </row>
    <row r="4" spans="1:55" ht="13.5" thickBo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>
        <v>10</v>
      </c>
      <c r="L4" s="4">
        <v>11</v>
      </c>
      <c r="M4" s="4">
        <v>12</v>
      </c>
      <c r="N4" s="4">
        <v>13</v>
      </c>
      <c r="O4" s="4">
        <v>14</v>
      </c>
      <c r="P4" s="4">
        <v>15</v>
      </c>
      <c r="Q4" s="4">
        <v>16</v>
      </c>
      <c r="R4" s="4">
        <v>17</v>
      </c>
      <c r="S4" s="4">
        <v>18</v>
      </c>
      <c r="T4" s="4">
        <v>19</v>
      </c>
      <c r="U4" s="4">
        <v>20</v>
      </c>
      <c r="V4" s="4">
        <v>21</v>
      </c>
      <c r="W4" s="4">
        <v>22</v>
      </c>
      <c r="X4" s="4">
        <v>23</v>
      </c>
      <c r="Y4" s="4">
        <v>33</v>
      </c>
      <c r="Z4" s="4">
        <v>34</v>
      </c>
      <c r="AA4" s="4">
        <v>35</v>
      </c>
      <c r="AB4" s="4">
        <v>24</v>
      </c>
      <c r="AC4" s="4">
        <v>25</v>
      </c>
      <c r="AD4" s="4">
        <v>26</v>
      </c>
      <c r="AE4" s="4">
        <v>27</v>
      </c>
      <c r="AF4" s="4">
        <v>28</v>
      </c>
      <c r="AG4" s="4">
        <v>29</v>
      </c>
      <c r="AH4" s="4">
        <v>30</v>
      </c>
      <c r="AI4" s="4">
        <v>31</v>
      </c>
      <c r="AJ4" s="4">
        <v>32</v>
      </c>
      <c r="AK4" s="4"/>
      <c r="AL4" s="4"/>
      <c r="AM4" s="4"/>
      <c r="AN4" s="4"/>
      <c r="AO4" s="4"/>
      <c r="AP4" s="4"/>
    </row>
    <row r="5" spans="1:55" s="5" customFormat="1" ht="110.25" customHeight="1" thickBot="1" x14ac:dyDescent="0.3">
      <c r="A5" s="25" t="s">
        <v>2</v>
      </c>
      <c r="B5" s="17" t="s">
        <v>3</v>
      </c>
      <c r="C5" s="17" t="s">
        <v>4</v>
      </c>
      <c r="D5" s="17" t="s">
        <v>5</v>
      </c>
      <c r="E5" s="17" t="s">
        <v>35</v>
      </c>
      <c r="F5" s="17" t="s">
        <v>41</v>
      </c>
      <c r="G5" s="17" t="s">
        <v>6</v>
      </c>
      <c r="H5" s="17" t="s">
        <v>26</v>
      </c>
      <c r="I5" s="17" t="s">
        <v>42</v>
      </c>
      <c r="J5" s="31" t="s">
        <v>43</v>
      </c>
      <c r="K5" s="33" t="s">
        <v>28</v>
      </c>
      <c r="L5" s="22" t="s">
        <v>29</v>
      </c>
      <c r="M5" s="22" t="s">
        <v>27</v>
      </c>
      <c r="N5" s="22" t="s">
        <v>8</v>
      </c>
      <c r="O5" s="22" t="s">
        <v>38</v>
      </c>
      <c r="P5" s="22" t="s">
        <v>9</v>
      </c>
      <c r="Q5" s="22" t="s">
        <v>10</v>
      </c>
      <c r="R5" s="22" t="s">
        <v>11</v>
      </c>
      <c r="S5" s="22" t="s">
        <v>12</v>
      </c>
      <c r="T5" s="22" t="s">
        <v>13</v>
      </c>
      <c r="U5" s="22" t="s">
        <v>14</v>
      </c>
      <c r="V5" s="22" t="s">
        <v>30</v>
      </c>
      <c r="W5" s="22" t="s">
        <v>44</v>
      </c>
      <c r="X5" s="22" t="s">
        <v>25</v>
      </c>
      <c r="Y5" s="259" t="s">
        <v>100</v>
      </c>
      <c r="Z5" s="259" t="s">
        <v>101</v>
      </c>
      <c r="AA5" s="259" t="s">
        <v>102</v>
      </c>
      <c r="AB5" s="22" t="s">
        <v>31</v>
      </c>
      <c r="AC5" s="22" t="s">
        <v>32</v>
      </c>
      <c r="AD5" s="22" t="s">
        <v>15</v>
      </c>
      <c r="AE5" s="22" t="s">
        <v>16</v>
      </c>
      <c r="AF5" s="22" t="s">
        <v>33</v>
      </c>
      <c r="AG5" s="22" t="s">
        <v>36</v>
      </c>
      <c r="AH5" s="22" t="s">
        <v>40</v>
      </c>
      <c r="AI5" s="22" t="s">
        <v>37</v>
      </c>
      <c r="AJ5" s="22" t="s">
        <v>39</v>
      </c>
      <c r="AK5" s="32" t="s">
        <v>17</v>
      </c>
      <c r="AL5" s="17" t="s">
        <v>18</v>
      </c>
      <c r="AM5" s="17" t="s">
        <v>19</v>
      </c>
      <c r="AN5" s="17" t="s">
        <v>20</v>
      </c>
      <c r="AO5" s="18" t="s">
        <v>21</v>
      </c>
      <c r="AP5" s="19" t="s">
        <v>22</v>
      </c>
    </row>
    <row r="6" spans="1:55" s="7" customFormat="1" ht="12.75" customHeight="1" thickBot="1" x14ac:dyDescent="0.25">
      <c r="A6" s="393">
        <f>A3</f>
        <v>46023</v>
      </c>
      <c r="B6" s="396">
        <f>A6</f>
        <v>46023</v>
      </c>
      <c r="C6" s="36" t="s">
        <v>23</v>
      </c>
      <c r="D6" s="261" t="s">
        <v>47</v>
      </c>
      <c r="E6" s="262">
        <v>3500</v>
      </c>
      <c r="F6" s="263"/>
      <c r="G6" s="264"/>
      <c r="H6" s="263">
        <v>660</v>
      </c>
      <c r="I6" s="38">
        <f t="shared" ref="I6:I69" si="0">IF(E6&lt;&gt;"",120,0)</f>
        <v>120</v>
      </c>
      <c r="J6" s="52">
        <f t="shared" ref="J6:J69" si="1">H6-AK6</f>
        <v>0</v>
      </c>
      <c r="K6" s="226"/>
      <c r="L6" s="226"/>
      <c r="M6" s="226">
        <v>660</v>
      </c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42"/>
      <c r="Z6" s="242"/>
      <c r="AA6" s="242"/>
      <c r="AB6" s="226"/>
      <c r="AC6" s="226"/>
      <c r="AD6" s="226"/>
      <c r="AE6" s="226"/>
      <c r="AF6" s="226"/>
      <c r="AG6" s="226"/>
      <c r="AH6" s="226"/>
      <c r="AI6" s="226"/>
      <c r="AJ6" s="226"/>
      <c r="AK6" s="58">
        <f>SUM(K6:AJ6)</f>
        <v>660</v>
      </c>
      <c r="AL6" s="59">
        <f>IFERROR(J6/H6,"0")</f>
        <v>0</v>
      </c>
      <c r="AM6" s="59">
        <f>IFERROR(F6/E6,"0")</f>
        <v>0</v>
      </c>
      <c r="AN6" s="59" t="str">
        <f>IFERROR(F6/(F6+G6),"0")</f>
        <v>0</v>
      </c>
      <c r="AO6" s="59">
        <f>IFERROR(AN6*AM6*AL6,"0")</f>
        <v>0</v>
      </c>
      <c r="AP6" s="243"/>
      <c r="AQ6" s="217">
        <v>46023</v>
      </c>
    </row>
    <row r="7" spans="1:55" s="7" customFormat="1" ht="13.5" thickBot="1" x14ac:dyDescent="0.25">
      <c r="A7" s="394"/>
      <c r="B7" s="397"/>
      <c r="C7" s="8" t="s">
        <v>23</v>
      </c>
      <c r="D7" s="265" t="s">
        <v>48</v>
      </c>
      <c r="E7" s="266">
        <v>3000</v>
      </c>
      <c r="F7" s="266"/>
      <c r="G7" s="267"/>
      <c r="H7" s="263">
        <v>660</v>
      </c>
      <c r="I7" s="11">
        <f t="shared" si="0"/>
        <v>120</v>
      </c>
      <c r="J7" s="48">
        <f t="shared" si="1"/>
        <v>0</v>
      </c>
      <c r="K7" s="232"/>
      <c r="L7" s="232"/>
      <c r="M7" s="232">
        <v>660</v>
      </c>
      <c r="N7" s="232"/>
      <c r="O7" s="232"/>
      <c r="P7" s="232"/>
      <c r="Q7" s="232"/>
      <c r="R7" s="232"/>
      <c r="S7" s="232"/>
      <c r="T7" s="232"/>
      <c r="U7" s="232"/>
      <c r="V7" s="232"/>
      <c r="W7" s="232"/>
      <c r="X7" s="232"/>
      <c r="Y7" s="232"/>
      <c r="Z7" s="232"/>
      <c r="AA7" s="232"/>
      <c r="AB7" s="232"/>
      <c r="AC7" s="232"/>
      <c r="AD7" s="232"/>
      <c r="AE7" s="232"/>
      <c r="AF7" s="232"/>
      <c r="AG7" s="232"/>
      <c r="AH7" s="232"/>
      <c r="AI7" s="232"/>
      <c r="AJ7" s="232"/>
      <c r="AK7" s="20">
        <f>SUM(K7:AJ7)</f>
        <v>660</v>
      </c>
      <c r="AL7" s="60">
        <f>IFERROR(J7/H7,"0")</f>
        <v>0</v>
      </c>
      <c r="AM7" s="60">
        <f>IFERROR(F7/E7,"0")</f>
        <v>0</v>
      </c>
      <c r="AN7" s="60" t="str">
        <f>IFERROR(F7/(F7+G7),"0")</f>
        <v>0</v>
      </c>
      <c r="AO7" s="60">
        <f>IFERROR(AN7*AM7*AL7,"0")</f>
        <v>0</v>
      </c>
      <c r="AP7" s="251"/>
      <c r="AQ7" s="217">
        <v>46054</v>
      </c>
    </row>
    <row r="8" spans="1:55" s="7" customFormat="1" ht="13.5" thickBot="1" x14ac:dyDescent="0.25">
      <c r="A8" s="394"/>
      <c r="B8" s="397"/>
      <c r="C8" s="8" t="s">
        <v>23</v>
      </c>
      <c r="D8" s="265" t="s">
        <v>51</v>
      </c>
      <c r="E8" s="266">
        <v>2500</v>
      </c>
      <c r="F8" s="266">
        <v>2072</v>
      </c>
      <c r="G8" s="267">
        <v>12</v>
      </c>
      <c r="H8" s="263">
        <v>660</v>
      </c>
      <c r="I8" s="11">
        <f t="shared" si="0"/>
        <v>120</v>
      </c>
      <c r="J8" s="29">
        <f t="shared" si="1"/>
        <v>520</v>
      </c>
      <c r="K8" s="232"/>
      <c r="L8" s="232"/>
      <c r="M8" s="232"/>
      <c r="N8" s="232"/>
      <c r="O8" s="232"/>
      <c r="P8" s="232"/>
      <c r="Q8" s="232"/>
      <c r="R8" s="232"/>
      <c r="S8" s="232">
        <v>60</v>
      </c>
      <c r="T8" s="232"/>
      <c r="U8" s="232"/>
      <c r="V8" s="232"/>
      <c r="W8" s="232"/>
      <c r="X8" s="232"/>
      <c r="Y8" s="232">
        <v>50</v>
      </c>
      <c r="Z8" s="232"/>
      <c r="AA8" s="232"/>
      <c r="AB8" s="232"/>
      <c r="AC8" s="232">
        <v>30</v>
      </c>
      <c r="AD8" s="232"/>
      <c r="AE8" s="232"/>
      <c r="AF8" s="232"/>
      <c r="AG8" s="232"/>
      <c r="AH8" s="232"/>
      <c r="AI8" s="232"/>
      <c r="AJ8" s="232"/>
      <c r="AK8" s="20">
        <f>SUM(K8:AJ8)</f>
        <v>140</v>
      </c>
      <c r="AL8" s="60">
        <f>IFERROR(J8/H8,"0")</f>
        <v>0.78787878787878785</v>
      </c>
      <c r="AM8" s="60">
        <f>IFERROR(F8/E8,"0")</f>
        <v>0.82879999999999998</v>
      </c>
      <c r="AN8" s="60">
        <f>IFERROR(F8/(F8+G8),"0")</f>
        <v>0.99424184261036463</v>
      </c>
      <c r="AO8" s="60">
        <f>IFERROR(AN8*AM8*AL8,"0")</f>
        <v>0.64923389751643101</v>
      </c>
      <c r="AP8" s="251"/>
      <c r="AQ8" s="217">
        <v>46082</v>
      </c>
    </row>
    <row r="9" spans="1:55" s="7" customFormat="1" ht="13.5" thickBot="1" x14ac:dyDescent="0.25">
      <c r="A9" s="394"/>
      <c r="B9" s="397"/>
      <c r="C9" s="8" t="s">
        <v>23</v>
      </c>
      <c r="D9" s="265" t="s">
        <v>97</v>
      </c>
      <c r="E9" s="268">
        <v>2100</v>
      </c>
      <c r="F9" s="266"/>
      <c r="G9" s="267"/>
      <c r="H9" s="263">
        <v>660</v>
      </c>
      <c r="I9" s="11">
        <f t="shared" si="0"/>
        <v>120</v>
      </c>
      <c r="J9" s="48">
        <f t="shared" si="1"/>
        <v>0</v>
      </c>
      <c r="K9" s="232"/>
      <c r="L9" s="232"/>
      <c r="M9" s="232"/>
      <c r="N9" s="232"/>
      <c r="O9" s="232"/>
      <c r="P9" s="232"/>
      <c r="Q9" s="232"/>
      <c r="R9" s="232"/>
      <c r="S9" s="232"/>
      <c r="T9" s="232">
        <v>660</v>
      </c>
      <c r="U9" s="232"/>
      <c r="V9" s="232"/>
      <c r="W9" s="232"/>
      <c r="X9" s="232"/>
      <c r="Y9" s="252"/>
      <c r="Z9" s="252"/>
      <c r="AA9" s="252"/>
      <c r="AB9" s="232"/>
      <c r="AC9" s="232"/>
      <c r="AD9" s="232"/>
      <c r="AE9" s="232"/>
      <c r="AF9" s="232"/>
      <c r="AG9" s="232"/>
      <c r="AH9" s="232"/>
      <c r="AI9" s="232"/>
      <c r="AJ9" s="232"/>
      <c r="AK9" s="61">
        <f t="shared" ref="AK9:AK12" si="2">SUM(K9:AJ9)</f>
        <v>660</v>
      </c>
      <c r="AL9" s="60">
        <f>IFERROR(J9/H9,"0")</f>
        <v>0</v>
      </c>
      <c r="AM9" s="60">
        <f>IFERROR(F9/E9,"0")</f>
        <v>0</v>
      </c>
      <c r="AN9" s="60" t="str">
        <f t="shared" ref="AN9:AN12" si="3">IFERROR(F9/(F9+G9),"0")</f>
        <v>0</v>
      </c>
      <c r="AO9" s="60">
        <f t="shared" ref="AO9:AO12" si="4">IFERROR(AN9*AM9*AL9,"0")</f>
        <v>0</v>
      </c>
      <c r="AP9" s="251"/>
      <c r="AQ9" s="217">
        <v>46113</v>
      </c>
    </row>
    <row r="10" spans="1:55" s="7" customFormat="1" ht="13.5" thickBot="1" x14ac:dyDescent="0.25">
      <c r="A10" s="395"/>
      <c r="B10" s="398"/>
      <c r="C10" s="42" t="s">
        <v>23</v>
      </c>
      <c r="D10" s="269" t="s">
        <v>50</v>
      </c>
      <c r="E10" s="270">
        <v>1550</v>
      </c>
      <c r="F10" s="271">
        <v>1500</v>
      </c>
      <c r="G10" s="272"/>
      <c r="H10" s="263">
        <v>660</v>
      </c>
      <c r="I10" s="43">
        <f t="shared" si="0"/>
        <v>120</v>
      </c>
      <c r="J10" s="56">
        <f t="shared" si="1"/>
        <v>639</v>
      </c>
      <c r="K10" s="253"/>
      <c r="L10" s="253"/>
      <c r="M10" s="253"/>
      <c r="N10" s="253"/>
      <c r="O10" s="253"/>
      <c r="P10" s="253"/>
      <c r="Q10" s="253"/>
      <c r="R10" s="253"/>
      <c r="S10" s="253"/>
      <c r="T10" s="253"/>
      <c r="U10" s="253"/>
      <c r="V10" s="253"/>
      <c r="W10" s="253"/>
      <c r="X10" s="253"/>
      <c r="Y10" s="246"/>
      <c r="Z10" s="246"/>
      <c r="AA10" s="246"/>
      <c r="AB10" s="253"/>
      <c r="AC10" s="253">
        <v>21</v>
      </c>
      <c r="AD10" s="253"/>
      <c r="AE10" s="253"/>
      <c r="AF10" s="253"/>
      <c r="AG10" s="253"/>
      <c r="AH10" s="253"/>
      <c r="AI10" s="253"/>
      <c r="AJ10" s="253"/>
      <c r="AK10" s="62">
        <f t="shared" si="2"/>
        <v>21</v>
      </c>
      <c r="AL10" s="63">
        <f>IFERROR(J10/H10,"0")</f>
        <v>0.96818181818181814</v>
      </c>
      <c r="AM10" s="63">
        <f>IFERROR(F10/E10,"0")</f>
        <v>0.967741935483871</v>
      </c>
      <c r="AN10" s="63">
        <f t="shared" si="3"/>
        <v>1</v>
      </c>
      <c r="AO10" s="63">
        <f t="shared" si="4"/>
        <v>0.93695014662756593</v>
      </c>
      <c r="AP10" s="254"/>
      <c r="AQ10" s="217">
        <v>46143</v>
      </c>
    </row>
    <row r="11" spans="1:55" s="7" customFormat="1" ht="13.5" thickBot="1" x14ac:dyDescent="0.25">
      <c r="A11" s="393">
        <f>A6+1</f>
        <v>46024</v>
      </c>
      <c r="B11" s="396">
        <f t="shared" ref="B11" si="5">A11</f>
        <v>46024</v>
      </c>
      <c r="C11" s="50" t="s">
        <v>23</v>
      </c>
      <c r="D11" s="68" t="s">
        <v>47</v>
      </c>
      <c r="E11" s="262">
        <v>2550</v>
      </c>
      <c r="F11" s="223"/>
      <c r="G11" s="249"/>
      <c r="H11" s="263">
        <v>480</v>
      </c>
      <c r="I11" s="51">
        <f t="shared" si="0"/>
        <v>120</v>
      </c>
      <c r="J11" s="52">
        <f t="shared" si="1"/>
        <v>0</v>
      </c>
      <c r="K11" s="226"/>
      <c r="L11" s="226"/>
      <c r="M11" s="226">
        <v>480</v>
      </c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64">
        <f t="shared" si="2"/>
        <v>480</v>
      </c>
      <c r="AL11" s="59">
        <f t="shared" ref="AL11:AL74" si="6">IFERROR(J11/H11,"0")</f>
        <v>0</v>
      </c>
      <c r="AM11" s="59">
        <f t="shared" ref="AM11:AM74" si="7">IFERROR(F11/E11,"0")</f>
        <v>0</v>
      </c>
      <c r="AN11" s="59" t="str">
        <f t="shared" si="3"/>
        <v>0</v>
      </c>
      <c r="AO11" s="59">
        <f t="shared" si="4"/>
        <v>0</v>
      </c>
      <c r="AP11" s="243"/>
      <c r="AQ11" s="217">
        <v>46174</v>
      </c>
    </row>
    <row r="12" spans="1:55" s="7" customFormat="1" ht="16.5" customHeight="1" thickBot="1" x14ac:dyDescent="0.25">
      <c r="A12" s="394"/>
      <c r="B12" s="397"/>
      <c r="C12" s="46" t="s">
        <v>23</v>
      </c>
      <c r="D12" s="69" t="s">
        <v>48</v>
      </c>
      <c r="E12" s="266">
        <v>2200</v>
      </c>
      <c r="F12" s="229"/>
      <c r="G12" s="250"/>
      <c r="H12" s="263">
        <v>480</v>
      </c>
      <c r="I12" s="11">
        <f t="shared" si="0"/>
        <v>120</v>
      </c>
      <c r="J12" s="48">
        <f t="shared" si="1"/>
        <v>0</v>
      </c>
      <c r="K12" s="232"/>
      <c r="L12" s="232"/>
      <c r="M12" s="232">
        <v>480</v>
      </c>
      <c r="N12" s="232"/>
      <c r="O12" s="232"/>
      <c r="P12" s="232"/>
      <c r="Q12" s="232"/>
      <c r="R12" s="232"/>
      <c r="S12" s="232"/>
      <c r="T12" s="232"/>
      <c r="U12" s="232"/>
      <c r="V12" s="232"/>
      <c r="W12" s="232"/>
      <c r="X12" s="232"/>
      <c r="Y12" s="232"/>
      <c r="Z12" s="232"/>
      <c r="AA12" s="232"/>
      <c r="AB12" s="232"/>
      <c r="AC12" s="232"/>
      <c r="AD12" s="232"/>
      <c r="AE12" s="232"/>
      <c r="AF12" s="232"/>
      <c r="AG12" s="232"/>
      <c r="AH12" s="232"/>
      <c r="AI12" s="232"/>
      <c r="AJ12" s="232"/>
      <c r="AK12" s="20">
        <f t="shared" si="2"/>
        <v>480</v>
      </c>
      <c r="AL12" s="60">
        <f t="shared" si="6"/>
        <v>0</v>
      </c>
      <c r="AM12" s="60">
        <f t="shared" si="7"/>
        <v>0</v>
      </c>
      <c r="AN12" s="60" t="str">
        <f t="shared" si="3"/>
        <v>0</v>
      </c>
      <c r="AO12" s="60">
        <f t="shared" si="4"/>
        <v>0</v>
      </c>
      <c r="AP12" s="251"/>
      <c r="AQ12" s="217">
        <v>46204</v>
      </c>
    </row>
    <row r="13" spans="1:55" s="7" customFormat="1" ht="13.5" thickBot="1" x14ac:dyDescent="0.25">
      <c r="A13" s="394"/>
      <c r="B13" s="397"/>
      <c r="C13" s="8" t="s">
        <v>23</v>
      </c>
      <c r="D13" s="69" t="s">
        <v>51</v>
      </c>
      <c r="E13" s="266">
        <v>1820</v>
      </c>
      <c r="F13" s="229">
        <v>1230</v>
      </c>
      <c r="G13" s="250">
        <v>6</v>
      </c>
      <c r="H13" s="263">
        <v>480</v>
      </c>
      <c r="I13" s="11">
        <f t="shared" si="0"/>
        <v>120</v>
      </c>
      <c r="J13" s="29">
        <f t="shared" si="1"/>
        <v>325</v>
      </c>
      <c r="K13" s="232"/>
      <c r="L13" s="232"/>
      <c r="M13" s="232"/>
      <c r="N13" s="232"/>
      <c r="O13" s="232"/>
      <c r="P13" s="232"/>
      <c r="Q13" s="232"/>
      <c r="R13" s="232"/>
      <c r="S13" s="232">
        <v>50</v>
      </c>
      <c r="T13" s="232"/>
      <c r="U13" s="232"/>
      <c r="V13" s="232"/>
      <c r="W13" s="232"/>
      <c r="X13" s="232"/>
      <c r="Y13" s="232">
        <v>40</v>
      </c>
      <c r="Z13" s="232"/>
      <c r="AA13" s="232"/>
      <c r="AB13" s="232"/>
      <c r="AC13" s="232">
        <v>45</v>
      </c>
      <c r="AD13" s="232"/>
      <c r="AE13" s="232"/>
      <c r="AF13" s="232"/>
      <c r="AG13" s="232">
        <v>20</v>
      </c>
      <c r="AH13" s="232"/>
      <c r="AI13" s="232"/>
      <c r="AJ13" s="232"/>
      <c r="AK13" s="20">
        <f>SUM(K13:AJ13)</f>
        <v>155</v>
      </c>
      <c r="AL13" s="60">
        <f>IFERROR(J13/H13,"0")</f>
        <v>0.67708333333333337</v>
      </c>
      <c r="AM13" s="60">
        <f>IFERROR(F13/E13,"0")</f>
        <v>0.67582417582417587</v>
      </c>
      <c r="AN13" s="60">
        <f>IFERROR(F13/(F13+G13),"0")</f>
        <v>0.99514563106796117</v>
      </c>
      <c r="AO13" s="60">
        <f>IFERROR(AN13*AM13*AL13,"0")</f>
        <v>0.45536797850208044</v>
      </c>
      <c r="AP13" s="251"/>
      <c r="AQ13" s="217">
        <v>46235</v>
      </c>
    </row>
    <row r="14" spans="1:55" s="7" customFormat="1" ht="13.5" thickBot="1" x14ac:dyDescent="0.25">
      <c r="A14" s="394"/>
      <c r="B14" s="397"/>
      <c r="C14" s="46" t="s">
        <v>23</v>
      </c>
      <c r="D14" s="71" t="s">
        <v>97</v>
      </c>
      <c r="E14" s="268">
        <v>1500</v>
      </c>
      <c r="F14" s="229"/>
      <c r="G14" s="250"/>
      <c r="H14" s="263">
        <v>480</v>
      </c>
      <c r="I14" s="11">
        <f t="shared" si="0"/>
        <v>120</v>
      </c>
      <c r="J14" s="48">
        <f t="shared" si="1"/>
        <v>0</v>
      </c>
      <c r="K14" s="232"/>
      <c r="L14" s="232"/>
      <c r="M14" s="232"/>
      <c r="N14" s="232"/>
      <c r="O14" s="232"/>
      <c r="P14" s="232"/>
      <c r="Q14" s="232"/>
      <c r="R14" s="232"/>
      <c r="S14" s="232"/>
      <c r="T14" s="232">
        <v>480</v>
      </c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32"/>
      <c r="AH14" s="232"/>
      <c r="AI14" s="232"/>
      <c r="AJ14" s="232"/>
      <c r="AK14" s="65">
        <f t="shared" ref="AK14:AK18" si="8">SUM(K14:AJ14)</f>
        <v>480</v>
      </c>
      <c r="AL14" s="60">
        <f t="shared" si="6"/>
        <v>0</v>
      </c>
      <c r="AM14" s="60">
        <f t="shared" si="7"/>
        <v>0</v>
      </c>
      <c r="AN14" s="60" t="str">
        <f t="shared" ref="AN14:AN77" si="9">IFERROR(F14/(F14+G14),"0")</f>
        <v>0</v>
      </c>
      <c r="AO14" s="60">
        <f t="shared" ref="AO14:AO77" si="10">IFERROR(AN14*AM14*AL14,"0")</f>
        <v>0</v>
      </c>
      <c r="AP14" s="251"/>
      <c r="AQ14" s="217">
        <v>46266</v>
      </c>
    </row>
    <row r="15" spans="1:55" s="7" customFormat="1" ht="13.5" thickBot="1" x14ac:dyDescent="0.25">
      <c r="A15" s="395"/>
      <c r="B15" s="398"/>
      <c r="C15" s="54" t="s">
        <v>23</v>
      </c>
      <c r="D15" s="72" t="s">
        <v>50</v>
      </c>
      <c r="E15" s="270">
        <v>1130</v>
      </c>
      <c r="F15" s="235">
        <v>1000</v>
      </c>
      <c r="G15" s="255">
        <v>2</v>
      </c>
      <c r="H15" s="263">
        <v>480</v>
      </c>
      <c r="I15" s="40">
        <f t="shared" si="0"/>
        <v>120</v>
      </c>
      <c r="J15" s="56">
        <f t="shared" si="1"/>
        <v>425</v>
      </c>
      <c r="K15" s="238"/>
      <c r="L15" s="238"/>
      <c r="M15" s="238"/>
      <c r="N15" s="238"/>
      <c r="O15" s="238"/>
      <c r="P15" s="238"/>
      <c r="Q15" s="238"/>
      <c r="R15" s="238"/>
      <c r="S15" s="238"/>
      <c r="T15" s="238"/>
      <c r="U15" s="238"/>
      <c r="V15" s="238"/>
      <c r="W15" s="238"/>
      <c r="X15" s="238"/>
      <c r="Y15" s="238"/>
      <c r="Z15" s="238"/>
      <c r="AA15" s="238">
        <v>30</v>
      </c>
      <c r="AB15" s="238"/>
      <c r="AC15" s="238">
        <v>25</v>
      </c>
      <c r="AD15" s="238"/>
      <c r="AE15" s="238"/>
      <c r="AF15" s="238"/>
      <c r="AG15" s="238"/>
      <c r="AH15" s="238"/>
      <c r="AI15" s="238"/>
      <c r="AJ15" s="238"/>
      <c r="AK15" s="66">
        <f t="shared" si="8"/>
        <v>55</v>
      </c>
      <c r="AL15" s="67">
        <f t="shared" si="6"/>
        <v>0.88541666666666663</v>
      </c>
      <c r="AM15" s="67">
        <f t="shared" si="7"/>
        <v>0.88495575221238942</v>
      </c>
      <c r="AN15" s="67">
        <f t="shared" si="9"/>
        <v>0.99800399201596801</v>
      </c>
      <c r="AO15" s="67">
        <f t="shared" si="10"/>
        <v>0.78199059108920799</v>
      </c>
      <c r="AP15" s="256"/>
      <c r="AQ15" s="217">
        <v>46296</v>
      </c>
    </row>
    <row r="16" spans="1:55" s="7" customFormat="1" ht="13.5" thickBot="1" x14ac:dyDescent="0.25">
      <c r="A16" s="393">
        <f t="shared" ref="A16" si="11">A11+1</f>
        <v>46025</v>
      </c>
      <c r="B16" s="396">
        <f t="shared" ref="B16" si="12">A16</f>
        <v>46025</v>
      </c>
      <c r="C16" s="50" t="s">
        <v>23</v>
      </c>
      <c r="D16" s="68" t="s">
        <v>47</v>
      </c>
      <c r="E16" s="262">
        <v>3500</v>
      </c>
      <c r="F16" s="223"/>
      <c r="G16" s="249"/>
      <c r="H16" s="263">
        <v>660</v>
      </c>
      <c r="I16" s="51">
        <f t="shared" si="0"/>
        <v>120</v>
      </c>
      <c r="J16" s="52">
        <f t="shared" si="1"/>
        <v>0</v>
      </c>
      <c r="K16" s="226"/>
      <c r="L16" s="226"/>
      <c r="M16" s="226">
        <v>660</v>
      </c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64">
        <f t="shared" si="8"/>
        <v>660</v>
      </c>
      <c r="AL16" s="59">
        <f t="shared" si="6"/>
        <v>0</v>
      </c>
      <c r="AM16" s="59">
        <f t="shared" si="7"/>
        <v>0</v>
      </c>
      <c r="AN16" s="59" t="str">
        <f t="shared" si="9"/>
        <v>0</v>
      </c>
      <c r="AO16" s="59">
        <f t="shared" si="10"/>
        <v>0</v>
      </c>
      <c r="AP16" s="243"/>
      <c r="AQ16" s="217">
        <v>46327</v>
      </c>
    </row>
    <row r="17" spans="1:43" s="7" customFormat="1" ht="13.5" thickBot="1" x14ac:dyDescent="0.25">
      <c r="A17" s="394"/>
      <c r="B17" s="397"/>
      <c r="C17" s="46" t="s">
        <v>23</v>
      </c>
      <c r="D17" s="69" t="s">
        <v>48</v>
      </c>
      <c r="E17" s="266">
        <v>3000</v>
      </c>
      <c r="F17" s="229">
        <v>2125</v>
      </c>
      <c r="G17" s="250">
        <v>4</v>
      </c>
      <c r="H17" s="263">
        <v>660</v>
      </c>
      <c r="I17" s="11">
        <f t="shared" si="0"/>
        <v>120</v>
      </c>
      <c r="J17" s="48">
        <f t="shared" si="1"/>
        <v>470</v>
      </c>
      <c r="K17" s="232"/>
      <c r="L17" s="232"/>
      <c r="M17" s="232">
        <v>70</v>
      </c>
      <c r="N17" s="232">
        <v>60</v>
      </c>
      <c r="O17" s="232"/>
      <c r="P17" s="232"/>
      <c r="Q17" s="232"/>
      <c r="R17" s="232"/>
      <c r="S17" s="232"/>
      <c r="T17" s="232"/>
      <c r="U17" s="232"/>
      <c r="V17" s="232"/>
      <c r="W17" s="232"/>
      <c r="X17" s="232"/>
      <c r="Y17" s="232">
        <v>30</v>
      </c>
      <c r="Z17" s="232"/>
      <c r="AA17" s="232"/>
      <c r="AB17" s="232"/>
      <c r="AC17" s="232">
        <v>30</v>
      </c>
      <c r="AD17" s="232"/>
      <c r="AE17" s="232"/>
      <c r="AF17" s="232"/>
      <c r="AG17" s="232"/>
      <c r="AH17" s="232"/>
      <c r="AI17" s="232"/>
      <c r="AJ17" s="232"/>
      <c r="AK17" s="20">
        <f t="shared" si="8"/>
        <v>190</v>
      </c>
      <c r="AL17" s="60">
        <f t="shared" si="6"/>
        <v>0.71212121212121215</v>
      </c>
      <c r="AM17" s="60">
        <f t="shared" si="7"/>
        <v>0.70833333333333337</v>
      </c>
      <c r="AN17" s="60">
        <f t="shared" si="9"/>
        <v>0.99812118365429781</v>
      </c>
      <c r="AO17" s="60">
        <f t="shared" si="10"/>
        <v>0.50347148089632832</v>
      </c>
      <c r="AP17" s="251"/>
      <c r="AQ17" s="217">
        <v>46357</v>
      </c>
    </row>
    <row r="18" spans="1:43" s="7" customFormat="1" ht="13.5" thickBot="1" x14ac:dyDescent="0.25">
      <c r="A18" s="394"/>
      <c r="B18" s="397"/>
      <c r="C18" s="8" t="s">
        <v>23</v>
      </c>
      <c r="D18" s="69" t="s">
        <v>51</v>
      </c>
      <c r="E18" s="266">
        <v>2500</v>
      </c>
      <c r="F18" s="229">
        <v>1767</v>
      </c>
      <c r="G18" s="250">
        <v>6</v>
      </c>
      <c r="H18" s="263">
        <v>660</v>
      </c>
      <c r="I18" s="11">
        <f t="shared" si="0"/>
        <v>120</v>
      </c>
      <c r="J18" s="29">
        <f t="shared" si="1"/>
        <v>470</v>
      </c>
      <c r="K18" s="232"/>
      <c r="L18" s="232"/>
      <c r="M18" s="232"/>
      <c r="N18" s="232"/>
      <c r="O18" s="232"/>
      <c r="P18" s="232"/>
      <c r="Q18" s="232"/>
      <c r="R18" s="232"/>
      <c r="S18" s="232">
        <v>70</v>
      </c>
      <c r="T18" s="232"/>
      <c r="U18" s="232"/>
      <c r="V18" s="232"/>
      <c r="W18" s="232"/>
      <c r="X18" s="232"/>
      <c r="Y18" s="232">
        <v>60</v>
      </c>
      <c r="Z18" s="232"/>
      <c r="AA18" s="232"/>
      <c r="AB18" s="232"/>
      <c r="AC18" s="232">
        <v>30</v>
      </c>
      <c r="AD18" s="232"/>
      <c r="AE18" s="232"/>
      <c r="AF18" s="232"/>
      <c r="AG18" s="232">
        <v>30</v>
      </c>
      <c r="AH18" s="232"/>
      <c r="AI18" s="232"/>
      <c r="AJ18" s="232"/>
      <c r="AK18" s="20">
        <f t="shared" si="8"/>
        <v>190</v>
      </c>
      <c r="AL18" s="60">
        <f t="shared" si="6"/>
        <v>0.71212121212121215</v>
      </c>
      <c r="AM18" s="60">
        <f t="shared" si="7"/>
        <v>0.70679999999999998</v>
      </c>
      <c r="AN18" s="60">
        <f t="shared" si="9"/>
        <v>0.99661590524534682</v>
      </c>
      <c r="AO18" s="60">
        <f t="shared" si="10"/>
        <v>0.50162396554376243</v>
      </c>
      <c r="AP18" s="251"/>
    </row>
    <row r="19" spans="1:43" s="7" customFormat="1" ht="13.5" thickBot="1" x14ac:dyDescent="0.25">
      <c r="A19" s="394"/>
      <c r="B19" s="397"/>
      <c r="C19" s="46" t="s">
        <v>23</v>
      </c>
      <c r="D19" s="71" t="s">
        <v>97</v>
      </c>
      <c r="E19" s="268">
        <v>2100</v>
      </c>
      <c r="F19" s="229">
        <v>600</v>
      </c>
      <c r="G19" s="250">
        <v>2</v>
      </c>
      <c r="H19" s="263">
        <v>660</v>
      </c>
      <c r="I19" s="11">
        <f t="shared" si="0"/>
        <v>120</v>
      </c>
      <c r="J19" s="48">
        <f t="shared" si="1"/>
        <v>190</v>
      </c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2"/>
      <c r="W19" s="232"/>
      <c r="X19" s="232"/>
      <c r="Y19" s="232"/>
      <c r="Z19" s="232"/>
      <c r="AA19" s="232">
        <v>445</v>
      </c>
      <c r="AB19" s="232"/>
      <c r="AC19" s="232">
        <v>25</v>
      </c>
      <c r="AD19" s="232"/>
      <c r="AE19" s="232"/>
      <c r="AF19" s="232"/>
      <c r="AG19" s="232"/>
      <c r="AH19" s="232"/>
      <c r="AI19" s="232"/>
      <c r="AJ19" s="232"/>
      <c r="AK19" s="65">
        <f t="shared" ref="AK19:AK82" si="13">SUM(K19:AJ19)</f>
        <v>470</v>
      </c>
      <c r="AL19" s="60">
        <f t="shared" si="6"/>
        <v>0.2878787878787879</v>
      </c>
      <c r="AM19" s="60">
        <f t="shared" si="7"/>
        <v>0.2857142857142857</v>
      </c>
      <c r="AN19" s="60">
        <f t="shared" si="9"/>
        <v>0.99667774086378735</v>
      </c>
      <c r="AO19" s="60">
        <f t="shared" si="10"/>
        <v>8.1977822841610218E-2</v>
      </c>
      <c r="AP19" s="251"/>
    </row>
    <row r="20" spans="1:43" s="7" customFormat="1" ht="13.5" thickBot="1" x14ac:dyDescent="0.25">
      <c r="A20" s="395"/>
      <c r="B20" s="398"/>
      <c r="C20" s="54" t="s">
        <v>23</v>
      </c>
      <c r="D20" s="72" t="s">
        <v>50</v>
      </c>
      <c r="E20" s="270">
        <v>1550</v>
      </c>
      <c r="F20" s="235">
        <v>650</v>
      </c>
      <c r="G20" s="255"/>
      <c r="H20" s="263">
        <v>660</v>
      </c>
      <c r="I20" s="40">
        <f t="shared" si="0"/>
        <v>120</v>
      </c>
      <c r="J20" s="56">
        <f t="shared" si="1"/>
        <v>280</v>
      </c>
      <c r="K20" s="238"/>
      <c r="L20" s="238"/>
      <c r="M20" s="238">
        <v>300</v>
      </c>
      <c r="N20" s="238"/>
      <c r="O20" s="238"/>
      <c r="P20" s="238"/>
      <c r="Q20" s="238"/>
      <c r="R20" s="238"/>
      <c r="S20" s="238"/>
      <c r="T20" s="238"/>
      <c r="U20" s="238"/>
      <c r="V20" s="238"/>
      <c r="W20" s="238"/>
      <c r="X20" s="238"/>
      <c r="Y20" s="238"/>
      <c r="Z20" s="238"/>
      <c r="AA20" s="238">
        <v>60</v>
      </c>
      <c r="AB20" s="238"/>
      <c r="AC20" s="238">
        <v>20</v>
      </c>
      <c r="AD20" s="238"/>
      <c r="AE20" s="238"/>
      <c r="AF20" s="238"/>
      <c r="AG20" s="238"/>
      <c r="AH20" s="238"/>
      <c r="AI20" s="238"/>
      <c r="AJ20" s="238"/>
      <c r="AK20" s="66">
        <f t="shared" si="13"/>
        <v>380</v>
      </c>
      <c r="AL20" s="67">
        <f t="shared" si="6"/>
        <v>0.42424242424242425</v>
      </c>
      <c r="AM20" s="67">
        <f t="shared" si="7"/>
        <v>0.41935483870967744</v>
      </c>
      <c r="AN20" s="67">
        <f t="shared" si="9"/>
        <v>1</v>
      </c>
      <c r="AO20" s="67">
        <f t="shared" si="10"/>
        <v>0.17790811339198437</v>
      </c>
      <c r="AP20" s="256"/>
    </row>
    <row r="21" spans="1:43" s="7" customFormat="1" ht="13.5" thickBot="1" x14ac:dyDescent="0.25">
      <c r="A21" s="393">
        <f t="shared" ref="A21" si="14">A16+1</f>
        <v>46026</v>
      </c>
      <c r="B21" s="396">
        <f t="shared" ref="B21:B81" si="15">A21</f>
        <v>46026</v>
      </c>
      <c r="C21" s="50" t="s">
        <v>23</v>
      </c>
      <c r="D21" s="68" t="s">
        <v>47</v>
      </c>
      <c r="E21" s="262">
        <v>3500</v>
      </c>
      <c r="F21" s="223">
        <v>3253</v>
      </c>
      <c r="G21" s="249">
        <v>8</v>
      </c>
      <c r="H21" s="263">
        <v>660</v>
      </c>
      <c r="I21" s="51">
        <f t="shared" si="0"/>
        <v>120</v>
      </c>
      <c r="J21" s="52">
        <f t="shared" si="1"/>
        <v>610</v>
      </c>
      <c r="K21" s="226"/>
      <c r="L21" s="226"/>
      <c r="M21" s="226"/>
      <c r="N21" s="226"/>
      <c r="O21" s="226"/>
      <c r="P21" s="226"/>
      <c r="Q21" s="226"/>
      <c r="R21" s="226"/>
      <c r="S21" s="226"/>
      <c r="T21" s="226"/>
      <c r="U21" s="226"/>
      <c r="V21" s="226"/>
      <c r="W21" s="226"/>
      <c r="X21" s="226"/>
      <c r="Y21" s="226">
        <v>25</v>
      </c>
      <c r="Z21" s="226"/>
      <c r="AA21" s="226"/>
      <c r="AB21" s="226"/>
      <c r="AC21" s="226">
        <v>25</v>
      </c>
      <c r="AD21" s="226"/>
      <c r="AE21" s="226"/>
      <c r="AF21" s="226"/>
      <c r="AG21" s="226"/>
      <c r="AH21" s="226"/>
      <c r="AI21" s="226"/>
      <c r="AJ21" s="226"/>
      <c r="AK21" s="64">
        <f t="shared" si="13"/>
        <v>50</v>
      </c>
      <c r="AL21" s="59">
        <f t="shared" si="6"/>
        <v>0.9242424242424242</v>
      </c>
      <c r="AM21" s="59">
        <f t="shared" si="7"/>
        <v>0.92942857142857138</v>
      </c>
      <c r="AN21" s="59">
        <f t="shared" si="9"/>
        <v>0.99754676479607485</v>
      </c>
      <c r="AO21" s="59">
        <f t="shared" si="10"/>
        <v>0.85690994449688096</v>
      </c>
      <c r="AP21" s="243"/>
    </row>
    <row r="22" spans="1:43" s="7" customFormat="1" ht="13.5" thickBot="1" x14ac:dyDescent="0.25">
      <c r="A22" s="394"/>
      <c r="B22" s="397"/>
      <c r="C22" s="46" t="s">
        <v>23</v>
      </c>
      <c r="D22" s="69" t="s">
        <v>48</v>
      </c>
      <c r="E22" s="266">
        <v>3000</v>
      </c>
      <c r="F22" s="229"/>
      <c r="G22" s="250"/>
      <c r="H22" s="263">
        <v>660</v>
      </c>
      <c r="I22" s="11">
        <f t="shared" si="0"/>
        <v>120</v>
      </c>
      <c r="J22" s="48">
        <f t="shared" si="1"/>
        <v>0</v>
      </c>
      <c r="K22" s="232"/>
      <c r="L22" s="232"/>
      <c r="M22" s="232">
        <v>660</v>
      </c>
      <c r="N22" s="232"/>
      <c r="O22" s="232"/>
      <c r="P22" s="232"/>
      <c r="Q22" s="232"/>
      <c r="R22" s="232"/>
      <c r="S22" s="232"/>
      <c r="T22" s="232"/>
      <c r="U22" s="232"/>
      <c r="V22" s="232"/>
      <c r="W22" s="232"/>
      <c r="X22" s="232"/>
      <c r="Y22" s="232"/>
      <c r="Z22" s="232"/>
      <c r="AA22" s="232"/>
      <c r="AB22" s="232"/>
      <c r="AC22" s="232"/>
      <c r="AD22" s="232"/>
      <c r="AE22" s="232"/>
      <c r="AF22" s="232"/>
      <c r="AG22" s="232"/>
      <c r="AH22" s="232"/>
      <c r="AI22" s="232"/>
      <c r="AJ22" s="232"/>
      <c r="AK22" s="20">
        <f t="shared" si="13"/>
        <v>660</v>
      </c>
      <c r="AL22" s="60">
        <f t="shared" si="6"/>
        <v>0</v>
      </c>
      <c r="AM22" s="60">
        <f t="shared" si="7"/>
        <v>0</v>
      </c>
      <c r="AN22" s="60" t="str">
        <f t="shared" si="9"/>
        <v>0</v>
      </c>
      <c r="AO22" s="60">
        <f t="shared" si="10"/>
        <v>0</v>
      </c>
      <c r="AP22" s="251"/>
    </row>
    <row r="23" spans="1:43" s="7" customFormat="1" ht="13.5" thickBot="1" x14ac:dyDescent="0.25">
      <c r="A23" s="394"/>
      <c r="B23" s="397"/>
      <c r="C23" s="8" t="s">
        <v>23</v>
      </c>
      <c r="D23" s="69" t="s">
        <v>51</v>
      </c>
      <c r="E23" s="266">
        <v>2500</v>
      </c>
      <c r="F23" s="229">
        <v>1139</v>
      </c>
      <c r="G23" s="250"/>
      <c r="H23" s="263">
        <v>660</v>
      </c>
      <c r="I23" s="11">
        <f t="shared" si="0"/>
        <v>120</v>
      </c>
      <c r="J23" s="29">
        <f t="shared" si="1"/>
        <v>310</v>
      </c>
      <c r="K23" s="232"/>
      <c r="L23" s="232"/>
      <c r="M23" s="232"/>
      <c r="N23" s="232"/>
      <c r="O23" s="232"/>
      <c r="P23" s="232"/>
      <c r="Q23" s="232"/>
      <c r="R23" s="232"/>
      <c r="S23" s="232">
        <v>40</v>
      </c>
      <c r="T23" s="232">
        <v>250</v>
      </c>
      <c r="U23" s="232"/>
      <c r="V23" s="232"/>
      <c r="W23" s="232"/>
      <c r="X23" s="232"/>
      <c r="Y23" s="232">
        <v>35</v>
      </c>
      <c r="Z23" s="232"/>
      <c r="AA23" s="232"/>
      <c r="AB23" s="232"/>
      <c r="AC23" s="232">
        <v>25</v>
      </c>
      <c r="AD23" s="232"/>
      <c r="AE23" s="232"/>
      <c r="AF23" s="232"/>
      <c r="AG23" s="232"/>
      <c r="AH23" s="232"/>
      <c r="AI23" s="232"/>
      <c r="AJ23" s="232"/>
      <c r="AK23" s="20">
        <f t="shared" si="13"/>
        <v>350</v>
      </c>
      <c r="AL23" s="60">
        <f t="shared" si="6"/>
        <v>0.46969696969696972</v>
      </c>
      <c r="AM23" s="60">
        <f t="shared" si="7"/>
        <v>0.4556</v>
      </c>
      <c r="AN23" s="60">
        <f t="shared" si="9"/>
        <v>1</v>
      </c>
      <c r="AO23" s="60">
        <f t="shared" si="10"/>
        <v>0.2139939393939394</v>
      </c>
      <c r="AP23" s="251"/>
    </row>
    <row r="24" spans="1:43" s="7" customFormat="1" ht="13.5" thickBot="1" x14ac:dyDescent="0.25">
      <c r="A24" s="394"/>
      <c r="B24" s="397"/>
      <c r="C24" s="46" t="s">
        <v>23</v>
      </c>
      <c r="D24" s="71" t="s">
        <v>97</v>
      </c>
      <c r="E24" s="268">
        <v>2100</v>
      </c>
      <c r="F24" s="229">
        <v>2000</v>
      </c>
      <c r="G24" s="250">
        <v>2</v>
      </c>
      <c r="H24" s="263">
        <v>660</v>
      </c>
      <c r="I24" s="11">
        <f t="shared" si="0"/>
        <v>120</v>
      </c>
      <c r="J24" s="48">
        <f t="shared" si="1"/>
        <v>630</v>
      </c>
      <c r="K24" s="232"/>
      <c r="L24" s="232"/>
      <c r="M24" s="232"/>
      <c r="N24" s="232"/>
      <c r="O24" s="232"/>
      <c r="P24" s="232"/>
      <c r="Q24" s="232"/>
      <c r="R24" s="232"/>
      <c r="S24" s="232"/>
      <c r="T24" s="232"/>
      <c r="U24" s="232"/>
      <c r="V24" s="232"/>
      <c r="W24" s="232"/>
      <c r="X24" s="232"/>
      <c r="Y24" s="232"/>
      <c r="Z24" s="232"/>
      <c r="AA24" s="232"/>
      <c r="AB24" s="232"/>
      <c r="AC24" s="232">
        <v>30</v>
      </c>
      <c r="AD24" s="232"/>
      <c r="AE24" s="232"/>
      <c r="AF24" s="232"/>
      <c r="AG24" s="232"/>
      <c r="AH24" s="232"/>
      <c r="AI24" s="232"/>
      <c r="AJ24" s="232"/>
      <c r="AK24" s="65">
        <f t="shared" si="13"/>
        <v>30</v>
      </c>
      <c r="AL24" s="60">
        <f t="shared" si="6"/>
        <v>0.95454545454545459</v>
      </c>
      <c r="AM24" s="60">
        <f t="shared" si="7"/>
        <v>0.95238095238095233</v>
      </c>
      <c r="AN24" s="60">
        <f t="shared" si="9"/>
        <v>0.99900099900099903</v>
      </c>
      <c r="AO24" s="60">
        <f t="shared" si="10"/>
        <v>0.90818272636454456</v>
      </c>
      <c r="AP24" s="251"/>
    </row>
    <row r="25" spans="1:43" s="7" customFormat="1" ht="13.5" thickBot="1" x14ac:dyDescent="0.25">
      <c r="A25" s="395"/>
      <c r="B25" s="398"/>
      <c r="C25" s="54" t="s">
        <v>23</v>
      </c>
      <c r="D25" s="72" t="s">
        <v>50</v>
      </c>
      <c r="E25" s="270">
        <v>1550</v>
      </c>
      <c r="F25" s="235">
        <v>1500</v>
      </c>
      <c r="G25" s="255"/>
      <c r="H25" s="263">
        <v>660</v>
      </c>
      <c r="I25" s="40">
        <f t="shared" si="0"/>
        <v>120</v>
      </c>
      <c r="J25" s="56">
        <f t="shared" si="1"/>
        <v>635</v>
      </c>
      <c r="K25" s="238"/>
      <c r="L25" s="238"/>
      <c r="M25" s="238"/>
      <c r="N25" s="238"/>
      <c r="O25" s="238"/>
      <c r="P25" s="238"/>
      <c r="Q25" s="238"/>
      <c r="R25" s="238"/>
      <c r="S25" s="238"/>
      <c r="T25" s="238"/>
      <c r="U25" s="238"/>
      <c r="V25" s="238"/>
      <c r="W25" s="238"/>
      <c r="X25" s="238"/>
      <c r="Y25" s="238"/>
      <c r="Z25" s="238"/>
      <c r="AA25" s="238">
        <v>25</v>
      </c>
      <c r="AB25" s="238"/>
      <c r="AC25" s="238"/>
      <c r="AD25" s="238"/>
      <c r="AE25" s="238"/>
      <c r="AF25" s="238"/>
      <c r="AG25" s="238"/>
      <c r="AH25" s="238"/>
      <c r="AI25" s="238"/>
      <c r="AJ25" s="238"/>
      <c r="AK25" s="66">
        <f t="shared" si="13"/>
        <v>25</v>
      </c>
      <c r="AL25" s="67">
        <f t="shared" si="6"/>
        <v>0.96212121212121215</v>
      </c>
      <c r="AM25" s="67">
        <f t="shared" si="7"/>
        <v>0.967741935483871</v>
      </c>
      <c r="AN25" s="67">
        <f t="shared" si="9"/>
        <v>1</v>
      </c>
      <c r="AO25" s="67">
        <f t="shared" si="10"/>
        <v>0.93108504398826986</v>
      </c>
      <c r="AP25" s="256"/>
    </row>
    <row r="26" spans="1:43" s="7" customFormat="1" ht="13.5" thickBot="1" x14ac:dyDescent="0.25">
      <c r="A26" s="393">
        <f t="shared" ref="A26" si="16">A21+1</f>
        <v>46027</v>
      </c>
      <c r="B26" s="396">
        <f t="shared" si="15"/>
        <v>46027</v>
      </c>
      <c r="C26" s="50" t="s">
        <v>23</v>
      </c>
      <c r="D26" s="68" t="s">
        <v>47</v>
      </c>
      <c r="E26" s="262">
        <v>3500</v>
      </c>
      <c r="F26" s="223">
        <v>3353</v>
      </c>
      <c r="G26" s="249">
        <v>6</v>
      </c>
      <c r="H26" s="263">
        <v>660</v>
      </c>
      <c r="I26" s="51">
        <f t="shared" si="0"/>
        <v>120</v>
      </c>
      <c r="J26" s="52">
        <f t="shared" si="1"/>
        <v>660</v>
      </c>
      <c r="K26" s="226"/>
      <c r="L26" s="226"/>
      <c r="M26" s="226"/>
      <c r="N26" s="226"/>
      <c r="O26" s="226"/>
      <c r="P26" s="226"/>
      <c r="Q26" s="226"/>
      <c r="R26" s="226"/>
      <c r="S26" s="226"/>
      <c r="T26" s="226"/>
      <c r="U26" s="226"/>
      <c r="V26" s="226"/>
      <c r="W26" s="226"/>
      <c r="X26" s="226"/>
      <c r="Y26" s="226"/>
      <c r="Z26" s="226"/>
      <c r="AA26" s="226"/>
      <c r="AB26" s="226"/>
      <c r="AC26" s="226"/>
      <c r="AD26" s="226"/>
      <c r="AE26" s="226"/>
      <c r="AF26" s="226"/>
      <c r="AG26" s="226"/>
      <c r="AH26" s="226"/>
      <c r="AI26" s="226"/>
      <c r="AJ26" s="226"/>
      <c r="AK26" s="64">
        <f t="shared" si="13"/>
        <v>0</v>
      </c>
      <c r="AL26" s="59">
        <f t="shared" si="6"/>
        <v>1</v>
      </c>
      <c r="AM26" s="59">
        <f t="shared" si="7"/>
        <v>0.95799999999999996</v>
      </c>
      <c r="AN26" s="59">
        <f t="shared" si="9"/>
        <v>0.99821375409348023</v>
      </c>
      <c r="AO26" s="59">
        <f t="shared" si="10"/>
        <v>0.95628877642155408</v>
      </c>
      <c r="AP26" s="243"/>
    </row>
    <row r="27" spans="1:43" s="7" customFormat="1" ht="13.5" thickBot="1" x14ac:dyDescent="0.25">
      <c r="A27" s="394"/>
      <c r="B27" s="397"/>
      <c r="C27" s="46" t="s">
        <v>23</v>
      </c>
      <c r="D27" s="69" t="s">
        <v>48</v>
      </c>
      <c r="E27" s="266">
        <v>3000</v>
      </c>
      <c r="F27" s="229"/>
      <c r="G27" s="250"/>
      <c r="H27" s="263">
        <v>660</v>
      </c>
      <c r="I27" s="11">
        <f t="shared" si="0"/>
        <v>120</v>
      </c>
      <c r="J27" s="48">
        <f t="shared" si="1"/>
        <v>0</v>
      </c>
      <c r="K27" s="232"/>
      <c r="L27" s="232"/>
      <c r="M27" s="232">
        <v>660</v>
      </c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Y27" s="232"/>
      <c r="Z27" s="232"/>
      <c r="AA27" s="232"/>
      <c r="AB27" s="232"/>
      <c r="AC27" s="232"/>
      <c r="AD27" s="232"/>
      <c r="AE27" s="232"/>
      <c r="AF27" s="232"/>
      <c r="AG27" s="232"/>
      <c r="AH27" s="232"/>
      <c r="AI27" s="232"/>
      <c r="AJ27" s="232"/>
      <c r="AK27" s="20">
        <f t="shared" si="13"/>
        <v>660</v>
      </c>
      <c r="AL27" s="60">
        <f t="shared" si="6"/>
        <v>0</v>
      </c>
      <c r="AM27" s="60">
        <f t="shared" si="7"/>
        <v>0</v>
      </c>
      <c r="AN27" s="60" t="str">
        <f t="shared" si="9"/>
        <v>0</v>
      </c>
      <c r="AO27" s="60">
        <f t="shared" si="10"/>
        <v>0</v>
      </c>
      <c r="AP27" s="251"/>
    </row>
    <row r="28" spans="1:43" s="7" customFormat="1" ht="13.5" thickBot="1" x14ac:dyDescent="0.25">
      <c r="A28" s="394"/>
      <c r="B28" s="397"/>
      <c r="C28" s="8" t="s">
        <v>23</v>
      </c>
      <c r="D28" s="69" t="s">
        <v>51</v>
      </c>
      <c r="E28" s="266">
        <v>2500</v>
      </c>
      <c r="F28" s="229"/>
      <c r="G28" s="250"/>
      <c r="H28" s="263">
        <v>660</v>
      </c>
      <c r="I28" s="11">
        <f t="shared" si="0"/>
        <v>120</v>
      </c>
      <c r="J28" s="29">
        <f t="shared" si="1"/>
        <v>0</v>
      </c>
      <c r="K28" s="232"/>
      <c r="L28" s="232"/>
      <c r="M28" s="232"/>
      <c r="N28" s="232"/>
      <c r="O28" s="232"/>
      <c r="P28" s="232"/>
      <c r="Q28" s="232"/>
      <c r="R28" s="232"/>
      <c r="S28" s="232"/>
      <c r="T28" s="232">
        <v>660</v>
      </c>
      <c r="U28" s="232"/>
      <c r="V28" s="232"/>
      <c r="W28" s="232"/>
      <c r="X28" s="232"/>
      <c r="Y28" s="232"/>
      <c r="Z28" s="232"/>
      <c r="AA28" s="232"/>
      <c r="AB28" s="232"/>
      <c r="AC28" s="232"/>
      <c r="AD28" s="232"/>
      <c r="AE28" s="232"/>
      <c r="AF28" s="232"/>
      <c r="AG28" s="232"/>
      <c r="AH28" s="232"/>
      <c r="AI28" s="232"/>
      <c r="AJ28" s="232"/>
      <c r="AK28" s="20">
        <f t="shared" si="13"/>
        <v>660</v>
      </c>
      <c r="AL28" s="60">
        <f t="shared" si="6"/>
        <v>0</v>
      </c>
      <c r="AM28" s="60">
        <f t="shared" si="7"/>
        <v>0</v>
      </c>
      <c r="AN28" s="60" t="str">
        <f t="shared" si="9"/>
        <v>0</v>
      </c>
      <c r="AO28" s="60">
        <f t="shared" si="10"/>
        <v>0</v>
      </c>
      <c r="AP28" s="251"/>
    </row>
    <row r="29" spans="1:43" s="7" customFormat="1" ht="13.5" thickBot="1" x14ac:dyDescent="0.25">
      <c r="A29" s="394"/>
      <c r="B29" s="397"/>
      <c r="C29" s="46" t="s">
        <v>23</v>
      </c>
      <c r="D29" s="71" t="s">
        <v>97</v>
      </c>
      <c r="E29" s="268">
        <v>2100</v>
      </c>
      <c r="F29" s="229">
        <v>2000</v>
      </c>
      <c r="G29" s="250"/>
      <c r="H29" s="263">
        <v>660</v>
      </c>
      <c r="I29" s="11">
        <f t="shared" si="0"/>
        <v>120</v>
      </c>
      <c r="J29" s="48">
        <f t="shared" si="1"/>
        <v>630</v>
      </c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X29" s="232"/>
      <c r="Y29" s="232"/>
      <c r="Z29" s="232"/>
      <c r="AA29" s="232"/>
      <c r="AB29" s="232"/>
      <c r="AC29" s="232">
        <v>30</v>
      </c>
      <c r="AD29" s="232"/>
      <c r="AE29" s="232"/>
      <c r="AF29" s="232"/>
      <c r="AG29" s="232"/>
      <c r="AH29" s="232"/>
      <c r="AI29" s="232"/>
      <c r="AJ29" s="232"/>
      <c r="AK29" s="65">
        <f t="shared" si="13"/>
        <v>30</v>
      </c>
      <c r="AL29" s="60">
        <f t="shared" si="6"/>
        <v>0.95454545454545459</v>
      </c>
      <c r="AM29" s="60">
        <f t="shared" si="7"/>
        <v>0.95238095238095233</v>
      </c>
      <c r="AN29" s="60">
        <f t="shared" si="9"/>
        <v>1</v>
      </c>
      <c r="AO29" s="60">
        <f t="shared" si="10"/>
        <v>0.90909090909090906</v>
      </c>
      <c r="AP29" s="251"/>
    </row>
    <row r="30" spans="1:43" s="7" customFormat="1" ht="13.5" thickBot="1" x14ac:dyDescent="0.25">
      <c r="A30" s="395"/>
      <c r="B30" s="398"/>
      <c r="C30" s="54" t="s">
        <v>23</v>
      </c>
      <c r="D30" s="72" t="s">
        <v>50</v>
      </c>
      <c r="E30" s="270">
        <v>1550</v>
      </c>
      <c r="F30" s="235">
        <v>1500</v>
      </c>
      <c r="G30" s="255">
        <v>2</v>
      </c>
      <c r="H30" s="263">
        <v>660</v>
      </c>
      <c r="I30" s="40">
        <f t="shared" si="0"/>
        <v>120</v>
      </c>
      <c r="J30" s="56">
        <f t="shared" si="1"/>
        <v>635</v>
      </c>
      <c r="K30" s="238"/>
      <c r="L30" s="238"/>
      <c r="M30" s="238"/>
      <c r="N30" s="238"/>
      <c r="O30" s="238"/>
      <c r="P30" s="238"/>
      <c r="Q30" s="238"/>
      <c r="R30" s="238"/>
      <c r="S30" s="238"/>
      <c r="T30" s="238"/>
      <c r="U30" s="238"/>
      <c r="V30" s="238"/>
      <c r="W30" s="238"/>
      <c r="X30" s="238"/>
      <c r="Y30" s="238"/>
      <c r="Z30" s="238"/>
      <c r="AA30" s="238">
        <v>25</v>
      </c>
      <c r="AB30" s="238"/>
      <c r="AC30" s="238"/>
      <c r="AD30" s="238"/>
      <c r="AE30" s="238"/>
      <c r="AF30" s="238"/>
      <c r="AG30" s="238"/>
      <c r="AH30" s="238"/>
      <c r="AI30" s="238"/>
      <c r="AJ30" s="238"/>
      <c r="AK30" s="66">
        <f t="shared" si="13"/>
        <v>25</v>
      </c>
      <c r="AL30" s="67">
        <f t="shared" si="6"/>
        <v>0.96212121212121215</v>
      </c>
      <c r="AM30" s="67">
        <f t="shared" si="7"/>
        <v>0.967741935483871</v>
      </c>
      <c r="AN30" s="67">
        <f t="shared" si="9"/>
        <v>0.99866844207723038</v>
      </c>
      <c r="AO30" s="67">
        <f t="shared" si="10"/>
        <v>0.92984525032117493</v>
      </c>
      <c r="AP30" s="256"/>
    </row>
    <row r="31" spans="1:43" s="7" customFormat="1" ht="13.5" thickBot="1" x14ac:dyDescent="0.25">
      <c r="A31" s="393">
        <f t="shared" ref="A31" si="17">A26+1</f>
        <v>46028</v>
      </c>
      <c r="B31" s="396">
        <f t="shared" si="15"/>
        <v>46028</v>
      </c>
      <c r="C31" s="50" t="s">
        <v>23</v>
      </c>
      <c r="D31" s="68" t="s">
        <v>47</v>
      </c>
      <c r="E31" s="262">
        <v>3500</v>
      </c>
      <c r="F31" s="223">
        <v>3333</v>
      </c>
      <c r="G31" s="249"/>
      <c r="H31" s="263">
        <v>660</v>
      </c>
      <c r="I31" s="51">
        <f t="shared" si="0"/>
        <v>120</v>
      </c>
      <c r="J31" s="52">
        <f t="shared" si="1"/>
        <v>630</v>
      </c>
      <c r="K31" s="226"/>
      <c r="L31" s="226"/>
      <c r="M31" s="226"/>
      <c r="N31" s="226"/>
      <c r="O31" s="226"/>
      <c r="P31" s="226"/>
      <c r="Q31" s="226"/>
      <c r="R31" s="226"/>
      <c r="S31" s="226"/>
      <c r="T31" s="226"/>
      <c r="U31" s="226"/>
      <c r="V31" s="226"/>
      <c r="W31" s="226"/>
      <c r="X31" s="226"/>
      <c r="Y31" s="226"/>
      <c r="Z31" s="226"/>
      <c r="AA31" s="226"/>
      <c r="AB31" s="226"/>
      <c r="AC31" s="226">
        <v>30</v>
      </c>
      <c r="AD31" s="226"/>
      <c r="AE31" s="226"/>
      <c r="AF31" s="226"/>
      <c r="AG31" s="226"/>
      <c r="AH31" s="226"/>
      <c r="AI31" s="226"/>
      <c r="AJ31" s="226"/>
      <c r="AK31" s="64">
        <f t="shared" si="13"/>
        <v>30</v>
      </c>
      <c r="AL31" s="59">
        <f t="shared" si="6"/>
        <v>0.95454545454545459</v>
      </c>
      <c r="AM31" s="59">
        <f t="shared" si="7"/>
        <v>0.95228571428571429</v>
      </c>
      <c r="AN31" s="59">
        <f t="shared" si="9"/>
        <v>1</v>
      </c>
      <c r="AO31" s="59">
        <f t="shared" si="10"/>
        <v>0.90900000000000003</v>
      </c>
      <c r="AP31" s="243"/>
    </row>
    <row r="32" spans="1:43" s="7" customFormat="1" ht="13.5" thickBot="1" x14ac:dyDescent="0.25">
      <c r="A32" s="394"/>
      <c r="B32" s="397"/>
      <c r="C32" s="46" t="s">
        <v>23</v>
      </c>
      <c r="D32" s="69" t="s">
        <v>48</v>
      </c>
      <c r="E32" s="266">
        <v>3000</v>
      </c>
      <c r="F32" s="229">
        <v>2550</v>
      </c>
      <c r="G32" s="250"/>
      <c r="H32" s="263">
        <v>660</v>
      </c>
      <c r="I32" s="11">
        <f t="shared" si="0"/>
        <v>120</v>
      </c>
      <c r="J32" s="48">
        <f t="shared" si="1"/>
        <v>630</v>
      </c>
      <c r="K32" s="232"/>
      <c r="L32" s="232"/>
      <c r="M32" s="232"/>
      <c r="N32" s="232"/>
      <c r="O32" s="232"/>
      <c r="P32" s="232"/>
      <c r="Q32" s="232"/>
      <c r="R32" s="232"/>
      <c r="S32" s="232"/>
      <c r="T32" s="232"/>
      <c r="U32" s="232"/>
      <c r="V32" s="232"/>
      <c r="W32" s="232"/>
      <c r="X32" s="232"/>
      <c r="Y32" s="232"/>
      <c r="Z32" s="232"/>
      <c r="AA32" s="232"/>
      <c r="AB32" s="232"/>
      <c r="AC32" s="232">
        <v>30</v>
      </c>
      <c r="AD32" s="232"/>
      <c r="AE32" s="232"/>
      <c r="AF32" s="232"/>
      <c r="AG32" s="232"/>
      <c r="AH32" s="232"/>
      <c r="AI32" s="232"/>
      <c r="AJ32" s="232"/>
      <c r="AK32" s="20">
        <f t="shared" si="13"/>
        <v>30</v>
      </c>
      <c r="AL32" s="60">
        <f t="shared" si="6"/>
        <v>0.95454545454545459</v>
      </c>
      <c r="AM32" s="60">
        <f t="shared" si="7"/>
        <v>0.85</v>
      </c>
      <c r="AN32" s="60">
        <f t="shared" si="9"/>
        <v>1</v>
      </c>
      <c r="AO32" s="60">
        <f t="shared" si="10"/>
        <v>0.8113636363636364</v>
      </c>
      <c r="AP32" s="251"/>
    </row>
    <row r="33" spans="1:42" s="7" customFormat="1" ht="13.5" thickBot="1" x14ac:dyDescent="0.25">
      <c r="A33" s="394"/>
      <c r="B33" s="397"/>
      <c r="C33" s="8" t="s">
        <v>23</v>
      </c>
      <c r="D33" s="69" t="s">
        <v>51</v>
      </c>
      <c r="E33" s="266">
        <v>2500</v>
      </c>
      <c r="F33" s="229"/>
      <c r="G33" s="250"/>
      <c r="H33" s="263">
        <v>660</v>
      </c>
      <c r="I33" s="11">
        <f t="shared" si="0"/>
        <v>120</v>
      </c>
      <c r="J33" s="29">
        <f t="shared" si="1"/>
        <v>0</v>
      </c>
      <c r="K33" s="232"/>
      <c r="L33" s="232"/>
      <c r="M33" s="232"/>
      <c r="N33" s="232">
        <v>660</v>
      </c>
      <c r="O33" s="232"/>
      <c r="P33" s="232"/>
      <c r="Q33" s="232"/>
      <c r="R33" s="232"/>
      <c r="S33" s="232"/>
      <c r="T33" s="232"/>
      <c r="U33" s="232"/>
      <c r="V33" s="232"/>
      <c r="W33" s="232"/>
      <c r="X33" s="232"/>
      <c r="Y33" s="232"/>
      <c r="Z33" s="232"/>
      <c r="AA33" s="232"/>
      <c r="AB33" s="232"/>
      <c r="AC33" s="232"/>
      <c r="AD33" s="232"/>
      <c r="AE33" s="232"/>
      <c r="AF33" s="232"/>
      <c r="AG33" s="232"/>
      <c r="AH33" s="232"/>
      <c r="AI33" s="232"/>
      <c r="AJ33" s="232"/>
      <c r="AK33" s="20">
        <f t="shared" si="13"/>
        <v>660</v>
      </c>
      <c r="AL33" s="60">
        <f t="shared" si="6"/>
        <v>0</v>
      </c>
      <c r="AM33" s="60">
        <f t="shared" si="7"/>
        <v>0</v>
      </c>
      <c r="AN33" s="60" t="str">
        <f t="shared" si="9"/>
        <v>0</v>
      </c>
      <c r="AO33" s="60">
        <f t="shared" si="10"/>
        <v>0</v>
      </c>
      <c r="AP33" s="251"/>
    </row>
    <row r="34" spans="1:42" s="7" customFormat="1" ht="13.5" thickBot="1" x14ac:dyDescent="0.25">
      <c r="A34" s="394"/>
      <c r="B34" s="397"/>
      <c r="C34" s="46" t="s">
        <v>23</v>
      </c>
      <c r="D34" s="71" t="s">
        <v>97</v>
      </c>
      <c r="E34" s="268">
        <v>2100</v>
      </c>
      <c r="F34" s="229">
        <v>2000</v>
      </c>
      <c r="G34" s="250"/>
      <c r="H34" s="263">
        <v>660</v>
      </c>
      <c r="I34" s="11">
        <f t="shared" si="0"/>
        <v>120</v>
      </c>
      <c r="J34" s="48">
        <f t="shared" si="1"/>
        <v>630</v>
      </c>
      <c r="K34" s="232"/>
      <c r="L34" s="232"/>
      <c r="M34" s="232"/>
      <c r="N34" s="232"/>
      <c r="O34" s="232"/>
      <c r="P34" s="232"/>
      <c r="Q34" s="232"/>
      <c r="R34" s="232"/>
      <c r="S34" s="232"/>
      <c r="T34" s="232"/>
      <c r="U34" s="232"/>
      <c r="V34" s="232"/>
      <c r="W34" s="232"/>
      <c r="X34" s="232"/>
      <c r="Y34" s="232"/>
      <c r="Z34" s="232"/>
      <c r="AA34" s="232"/>
      <c r="AB34" s="232"/>
      <c r="AC34" s="232">
        <v>30</v>
      </c>
      <c r="AD34" s="232"/>
      <c r="AE34" s="232"/>
      <c r="AF34" s="232"/>
      <c r="AG34" s="232"/>
      <c r="AH34" s="232"/>
      <c r="AI34" s="232"/>
      <c r="AJ34" s="232"/>
      <c r="AK34" s="65">
        <f t="shared" si="13"/>
        <v>30</v>
      </c>
      <c r="AL34" s="60">
        <f t="shared" si="6"/>
        <v>0.95454545454545459</v>
      </c>
      <c r="AM34" s="60">
        <f t="shared" si="7"/>
        <v>0.95238095238095233</v>
      </c>
      <c r="AN34" s="60">
        <f t="shared" si="9"/>
        <v>1</v>
      </c>
      <c r="AO34" s="60">
        <f t="shared" si="10"/>
        <v>0.90909090909090906</v>
      </c>
      <c r="AP34" s="251"/>
    </row>
    <row r="35" spans="1:42" s="7" customFormat="1" ht="13.5" thickBot="1" x14ac:dyDescent="0.25">
      <c r="A35" s="395"/>
      <c r="B35" s="398"/>
      <c r="C35" s="54" t="s">
        <v>23</v>
      </c>
      <c r="D35" s="72" t="s">
        <v>50</v>
      </c>
      <c r="E35" s="270">
        <v>1550</v>
      </c>
      <c r="F35" s="235">
        <v>1500</v>
      </c>
      <c r="G35" s="255"/>
      <c r="H35" s="263">
        <v>660</v>
      </c>
      <c r="I35" s="40">
        <f t="shared" si="0"/>
        <v>120</v>
      </c>
      <c r="J35" s="56">
        <f t="shared" si="1"/>
        <v>635</v>
      </c>
      <c r="K35" s="238"/>
      <c r="L35" s="238"/>
      <c r="M35" s="238"/>
      <c r="N35" s="238"/>
      <c r="O35" s="238"/>
      <c r="P35" s="238"/>
      <c r="Q35" s="238"/>
      <c r="R35" s="238"/>
      <c r="S35" s="238"/>
      <c r="T35" s="238"/>
      <c r="U35" s="238"/>
      <c r="V35" s="238"/>
      <c r="W35" s="238"/>
      <c r="X35" s="238"/>
      <c r="Y35" s="238"/>
      <c r="Z35" s="238"/>
      <c r="AA35" s="238">
        <v>25</v>
      </c>
      <c r="AB35" s="238"/>
      <c r="AC35" s="238"/>
      <c r="AD35" s="238"/>
      <c r="AE35" s="238"/>
      <c r="AF35" s="238"/>
      <c r="AG35" s="238"/>
      <c r="AH35" s="238"/>
      <c r="AI35" s="238"/>
      <c r="AJ35" s="238"/>
      <c r="AK35" s="66">
        <f t="shared" si="13"/>
        <v>25</v>
      </c>
      <c r="AL35" s="67">
        <f t="shared" si="6"/>
        <v>0.96212121212121215</v>
      </c>
      <c r="AM35" s="67">
        <f t="shared" si="7"/>
        <v>0.967741935483871</v>
      </c>
      <c r="AN35" s="67">
        <f t="shared" si="9"/>
        <v>1</v>
      </c>
      <c r="AO35" s="67">
        <f t="shared" si="10"/>
        <v>0.93108504398826986</v>
      </c>
      <c r="AP35" s="256"/>
    </row>
    <row r="36" spans="1:42" s="7" customFormat="1" ht="13.5" thickBot="1" x14ac:dyDescent="0.25">
      <c r="A36" s="393">
        <f t="shared" ref="A36" si="18">A31+1</f>
        <v>46029</v>
      </c>
      <c r="B36" s="396">
        <f t="shared" si="15"/>
        <v>46029</v>
      </c>
      <c r="C36" s="50" t="s">
        <v>23</v>
      </c>
      <c r="D36" s="68" t="s">
        <v>47</v>
      </c>
      <c r="E36" s="262">
        <v>3500</v>
      </c>
      <c r="F36" s="223">
        <v>3333</v>
      </c>
      <c r="G36" s="249">
        <v>6</v>
      </c>
      <c r="H36" s="263">
        <v>660</v>
      </c>
      <c r="I36" s="51">
        <f t="shared" si="0"/>
        <v>120</v>
      </c>
      <c r="J36" s="52">
        <f t="shared" si="1"/>
        <v>630</v>
      </c>
      <c r="K36" s="226"/>
      <c r="L36" s="226"/>
      <c r="M36" s="226"/>
      <c r="N36" s="226"/>
      <c r="O36" s="226"/>
      <c r="P36" s="226"/>
      <c r="Q36" s="226"/>
      <c r="R36" s="226"/>
      <c r="S36" s="226"/>
      <c r="T36" s="226"/>
      <c r="U36" s="226"/>
      <c r="V36" s="226"/>
      <c r="W36" s="226"/>
      <c r="X36" s="226"/>
      <c r="Y36" s="226"/>
      <c r="Z36" s="226"/>
      <c r="AA36" s="226"/>
      <c r="AB36" s="226"/>
      <c r="AC36" s="226">
        <v>30</v>
      </c>
      <c r="AD36" s="226"/>
      <c r="AE36" s="226"/>
      <c r="AF36" s="226"/>
      <c r="AG36" s="226"/>
      <c r="AH36" s="226"/>
      <c r="AI36" s="226"/>
      <c r="AJ36" s="226"/>
      <c r="AK36" s="64">
        <f t="shared" si="13"/>
        <v>30</v>
      </c>
      <c r="AL36" s="59">
        <f t="shared" si="6"/>
        <v>0.95454545454545459</v>
      </c>
      <c r="AM36" s="59">
        <f t="shared" si="7"/>
        <v>0.95228571428571429</v>
      </c>
      <c r="AN36" s="59">
        <f t="shared" si="9"/>
        <v>0.99820305480682836</v>
      </c>
      <c r="AO36" s="59">
        <f t="shared" si="10"/>
        <v>0.90736657681940702</v>
      </c>
      <c r="AP36" s="243"/>
    </row>
    <row r="37" spans="1:42" s="7" customFormat="1" ht="13.5" thickBot="1" x14ac:dyDescent="0.25">
      <c r="A37" s="394"/>
      <c r="B37" s="397"/>
      <c r="C37" s="46" t="s">
        <v>23</v>
      </c>
      <c r="D37" s="69" t="s">
        <v>48</v>
      </c>
      <c r="E37" s="266">
        <v>3000</v>
      </c>
      <c r="F37" s="229"/>
      <c r="G37" s="250"/>
      <c r="H37" s="263">
        <v>660</v>
      </c>
      <c r="I37" s="11">
        <f t="shared" si="0"/>
        <v>120</v>
      </c>
      <c r="J37" s="48">
        <f t="shared" si="1"/>
        <v>0</v>
      </c>
      <c r="K37" s="232"/>
      <c r="L37" s="232"/>
      <c r="M37" s="232">
        <v>660</v>
      </c>
      <c r="N37" s="232"/>
      <c r="O37" s="232"/>
      <c r="P37" s="232"/>
      <c r="Q37" s="232"/>
      <c r="R37" s="232"/>
      <c r="S37" s="232"/>
      <c r="T37" s="232"/>
      <c r="U37" s="232"/>
      <c r="V37" s="232"/>
      <c r="W37" s="232"/>
      <c r="X37" s="232"/>
      <c r="Y37" s="232"/>
      <c r="Z37" s="232"/>
      <c r="AA37" s="232"/>
      <c r="AB37" s="232"/>
      <c r="AC37" s="232"/>
      <c r="AD37" s="232"/>
      <c r="AE37" s="232"/>
      <c r="AF37" s="232"/>
      <c r="AG37" s="232"/>
      <c r="AH37" s="232"/>
      <c r="AI37" s="232"/>
      <c r="AJ37" s="232"/>
      <c r="AK37" s="20">
        <f t="shared" si="13"/>
        <v>660</v>
      </c>
      <c r="AL37" s="60">
        <f t="shared" si="6"/>
        <v>0</v>
      </c>
      <c r="AM37" s="60">
        <f t="shared" si="7"/>
        <v>0</v>
      </c>
      <c r="AN37" s="60" t="str">
        <f t="shared" si="9"/>
        <v>0</v>
      </c>
      <c r="AO37" s="60">
        <f t="shared" si="10"/>
        <v>0</v>
      </c>
      <c r="AP37" s="251"/>
    </row>
    <row r="38" spans="1:42" s="7" customFormat="1" ht="13.5" thickBot="1" x14ac:dyDescent="0.25">
      <c r="A38" s="394"/>
      <c r="B38" s="397"/>
      <c r="C38" s="8" t="s">
        <v>23</v>
      </c>
      <c r="D38" s="69" t="s">
        <v>51</v>
      </c>
      <c r="E38" s="266">
        <v>2500</v>
      </c>
      <c r="F38" s="229"/>
      <c r="G38" s="250"/>
      <c r="H38" s="263">
        <v>660</v>
      </c>
      <c r="I38" s="11">
        <f t="shared" si="0"/>
        <v>120</v>
      </c>
      <c r="J38" s="29">
        <f t="shared" si="1"/>
        <v>0</v>
      </c>
      <c r="K38" s="232"/>
      <c r="L38" s="232"/>
      <c r="M38" s="232"/>
      <c r="N38" s="232">
        <v>660</v>
      </c>
      <c r="O38" s="232"/>
      <c r="P38" s="232"/>
      <c r="Q38" s="232"/>
      <c r="R38" s="232"/>
      <c r="S38" s="232"/>
      <c r="T38" s="232"/>
      <c r="U38" s="232"/>
      <c r="V38" s="232"/>
      <c r="W38" s="232"/>
      <c r="X38" s="232"/>
      <c r="Y38" s="232"/>
      <c r="Z38" s="232"/>
      <c r="AA38" s="232"/>
      <c r="AB38" s="232"/>
      <c r="AC38" s="232"/>
      <c r="AD38" s="232"/>
      <c r="AE38" s="232"/>
      <c r="AF38" s="232"/>
      <c r="AG38" s="232"/>
      <c r="AH38" s="232"/>
      <c r="AI38" s="232"/>
      <c r="AJ38" s="232"/>
      <c r="AK38" s="20">
        <f t="shared" si="13"/>
        <v>660</v>
      </c>
      <c r="AL38" s="60">
        <f t="shared" si="6"/>
        <v>0</v>
      </c>
      <c r="AM38" s="60">
        <f t="shared" si="7"/>
        <v>0</v>
      </c>
      <c r="AN38" s="60" t="str">
        <f t="shared" si="9"/>
        <v>0</v>
      </c>
      <c r="AO38" s="60">
        <f t="shared" si="10"/>
        <v>0</v>
      </c>
      <c r="AP38" s="251"/>
    </row>
    <row r="39" spans="1:42" s="7" customFormat="1" ht="13.5" thickBot="1" x14ac:dyDescent="0.25">
      <c r="A39" s="394"/>
      <c r="B39" s="397"/>
      <c r="C39" s="46" t="s">
        <v>23</v>
      </c>
      <c r="D39" s="71" t="s">
        <v>97</v>
      </c>
      <c r="E39" s="268">
        <v>2100</v>
      </c>
      <c r="F39" s="229">
        <v>2000</v>
      </c>
      <c r="G39" s="250"/>
      <c r="H39" s="263">
        <v>660</v>
      </c>
      <c r="I39" s="11">
        <f t="shared" si="0"/>
        <v>120</v>
      </c>
      <c r="J39" s="48">
        <f t="shared" si="1"/>
        <v>630</v>
      </c>
      <c r="K39" s="232"/>
      <c r="L39" s="232"/>
      <c r="M39" s="232"/>
      <c r="N39" s="232"/>
      <c r="O39" s="232"/>
      <c r="P39" s="232"/>
      <c r="Q39" s="232"/>
      <c r="R39" s="232"/>
      <c r="S39" s="232"/>
      <c r="T39" s="232"/>
      <c r="U39" s="232"/>
      <c r="V39" s="232"/>
      <c r="W39" s="232"/>
      <c r="X39" s="232"/>
      <c r="Y39" s="232"/>
      <c r="Z39" s="232"/>
      <c r="AA39" s="232"/>
      <c r="AB39" s="232"/>
      <c r="AC39" s="232">
        <v>30</v>
      </c>
      <c r="AD39" s="232"/>
      <c r="AE39" s="232"/>
      <c r="AF39" s="232"/>
      <c r="AG39" s="232"/>
      <c r="AH39" s="232"/>
      <c r="AI39" s="232"/>
      <c r="AJ39" s="232"/>
      <c r="AK39" s="65">
        <f t="shared" si="13"/>
        <v>30</v>
      </c>
      <c r="AL39" s="60">
        <f t="shared" si="6"/>
        <v>0.95454545454545459</v>
      </c>
      <c r="AM39" s="60">
        <f t="shared" si="7"/>
        <v>0.95238095238095233</v>
      </c>
      <c r="AN39" s="60">
        <f t="shared" si="9"/>
        <v>1</v>
      </c>
      <c r="AO39" s="60">
        <f t="shared" si="10"/>
        <v>0.90909090909090906</v>
      </c>
      <c r="AP39" s="251"/>
    </row>
    <row r="40" spans="1:42" s="7" customFormat="1" ht="13.5" thickBot="1" x14ac:dyDescent="0.25">
      <c r="A40" s="395"/>
      <c r="B40" s="398"/>
      <c r="C40" s="54" t="s">
        <v>23</v>
      </c>
      <c r="D40" s="72" t="s">
        <v>50</v>
      </c>
      <c r="E40" s="270">
        <v>1550</v>
      </c>
      <c r="F40" s="235">
        <v>1500</v>
      </c>
      <c r="G40" s="255">
        <v>4</v>
      </c>
      <c r="H40" s="263">
        <v>660</v>
      </c>
      <c r="I40" s="40">
        <f t="shared" si="0"/>
        <v>120</v>
      </c>
      <c r="J40" s="56">
        <f t="shared" si="1"/>
        <v>635</v>
      </c>
      <c r="K40" s="238"/>
      <c r="L40" s="238"/>
      <c r="M40" s="238"/>
      <c r="N40" s="238"/>
      <c r="O40" s="238"/>
      <c r="P40" s="238"/>
      <c r="Q40" s="238"/>
      <c r="R40" s="238"/>
      <c r="S40" s="238"/>
      <c r="T40" s="238"/>
      <c r="U40" s="238"/>
      <c r="V40" s="238"/>
      <c r="W40" s="238"/>
      <c r="X40" s="238"/>
      <c r="Y40" s="238"/>
      <c r="Z40" s="238"/>
      <c r="AA40" s="238">
        <v>25</v>
      </c>
      <c r="AB40" s="238"/>
      <c r="AC40" s="238"/>
      <c r="AD40" s="238"/>
      <c r="AE40" s="238"/>
      <c r="AF40" s="238"/>
      <c r="AG40" s="238"/>
      <c r="AH40" s="238"/>
      <c r="AI40" s="238"/>
      <c r="AJ40" s="238"/>
      <c r="AK40" s="66">
        <f t="shared" si="13"/>
        <v>25</v>
      </c>
      <c r="AL40" s="67">
        <f t="shared" si="6"/>
        <v>0.96212121212121215</v>
      </c>
      <c r="AM40" s="67">
        <f t="shared" si="7"/>
        <v>0.967741935483871</v>
      </c>
      <c r="AN40" s="67">
        <f t="shared" si="9"/>
        <v>0.99734042553191493</v>
      </c>
      <c r="AO40" s="67">
        <f t="shared" si="10"/>
        <v>0.92860875397766274</v>
      </c>
      <c r="AP40" s="256"/>
    </row>
    <row r="41" spans="1:42" s="7" customFormat="1" ht="13.5" thickBot="1" x14ac:dyDescent="0.25">
      <c r="A41" s="393">
        <f t="shared" ref="A41" si="19">A36+1</f>
        <v>46030</v>
      </c>
      <c r="B41" s="396">
        <f t="shared" si="15"/>
        <v>46030</v>
      </c>
      <c r="C41" s="50" t="s">
        <v>23</v>
      </c>
      <c r="D41" s="68" t="s">
        <v>47</v>
      </c>
      <c r="E41" s="262">
        <v>3500</v>
      </c>
      <c r="F41" s="223">
        <v>2516</v>
      </c>
      <c r="G41" s="249">
        <v>8</v>
      </c>
      <c r="H41" s="263">
        <v>660</v>
      </c>
      <c r="I41" s="51">
        <f t="shared" si="0"/>
        <v>120</v>
      </c>
      <c r="J41" s="52">
        <f t="shared" si="1"/>
        <v>475</v>
      </c>
      <c r="K41" s="226"/>
      <c r="L41" s="226"/>
      <c r="M41" s="226"/>
      <c r="N41" s="226">
        <v>60</v>
      </c>
      <c r="O41" s="226"/>
      <c r="P41" s="226"/>
      <c r="Q41" s="226"/>
      <c r="R41" s="226"/>
      <c r="S41" s="226">
        <v>30</v>
      </c>
      <c r="T41" s="226"/>
      <c r="U41" s="226"/>
      <c r="V41" s="226"/>
      <c r="W41" s="226"/>
      <c r="X41" s="226"/>
      <c r="Y41" s="226">
        <v>20</v>
      </c>
      <c r="Z41" s="226"/>
      <c r="AA41" s="226"/>
      <c r="AB41" s="226"/>
      <c r="AC41" s="226">
        <v>30</v>
      </c>
      <c r="AD41" s="226"/>
      <c r="AE41" s="226"/>
      <c r="AF41" s="226"/>
      <c r="AG41" s="226">
        <v>45</v>
      </c>
      <c r="AH41" s="226"/>
      <c r="AI41" s="226"/>
      <c r="AJ41" s="226"/>
      <c r="AK41" s="64">
        <f t="shared" si="13"/>
        <v>185</v>
      </c>
      <c r="AL41" s="59">
        <f t="shared" si="6"/>
        <v>0.71969696969696972</v>
      </c>
      <c r="AM41" s="59">
        <f t="shared" si="7"/>
        <v>0.71885714285714286</v>
      </c>
      <c r="AN41" s="59">
        <f t="shared" si="9"/>
        <v>0.99683042789223453</v>
      </c>
      <c r="AO41" s="59">
        <f t="shared" si="10"/>
        <v>0.51571949972900843</v>
      </c>
      <c r="AP41" s="243"/>
    </row>
    <row r="42" spans="1:42" s="7" customFormat="1" ht="13.5" thickBot="1" x14ac:dyDescent="0.25">
      <c r="A42" s="394"/>
      <c r="B42" s="397"/>
      <c r="C42" s="46" t="s">
        <v>23</v>
      </c>
      <c r="D42" s="69" t="s">
        <v>48</v>
      </c>
      <c r="E42" s="266">
        <v>3000</v>
      </c>
      <c r="F42" s="229">
        <v>2700</v>
      </c>
      <c r="G42" s="250">
        <v>4</v>
      </c>
      <c r="H42" s="263">
        <v>660</v>
      </c>
      <c r="I42" s="11">
        <f t="shared" si="0"/>
        <v>120</v>
      </c>
      <c r="J42" s="48">
        <f t="shared" si="1"/>
        <v>597</v>
      </c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X42" s="232"/>
      <c r="Y42" s="232"/>
      <c r="Z42" s="232"/>
      <c r="AA42" s="232"/>
      <c r="AB42" s="232"/>
      <c r="AC42" s="232">
        <v>30</v>
      </c>
      <c r="AD42" s="232"/>
      <c r="AE42" s="232"/>
      <c r="AF42" s="232"/>
      <c r="AG42" s="232">
        <v>33</v>
      </c>
      <c r="AH42" s="232"/>
      <c r="AI42" s="232"/>
      <c r="AJ42" s="232"/>
      <c r="AK42" s="20">
        <f t="shared" si="13"/>
        <v>63</v>
      </c>
      <c r="AL42" s="60">
        <f t="shared" si="6"/>
        <v>0.90454545454545454</v>
      </c>
      <c r="AM42" s="60">
        <f t="shared" si="7"/>
        <v>0.9</v>
      </c>
      <c r="AN42" s="60">
        <f t="shared" si="9"/>
        <v>0.99852071005917165</v>
      </c>
      <c r="AO42" s="60">
        <f t="shared" si="10"/>
        <v>0.81288663259817107</v>
      </c>
      <c r="AP42" s="251"/>
    </row>
    <row r="43" spans="1:42" s="7" customFormat="1" ht="13.5" thickBot="1" x14ac:dyDescent="0.25">
      <c r="A43" s="394"/>
      <c r="B43" s="397"/>
      <c r="C43" s="8" t="s">
        <v>23</v>
      </c>
      <c r="D43" s="69" t="s">
        <v>51</v>
      </c>
      <c r="E43" s="266">
        <v>2500</v>
      </c>
      <c r="F43" s="229"/>
      <c r="G43" s="250"/>
      <c r="H43" s="263">
        <v>660</v>
      </c>
      <c r="I43" s="11">
        <f t="shared" si="0"/>
        <v>120</v>
      </c>
      <c r="J43" s="29">
        <f t="shared" si="1"/>
        <v>0</v>
      </c>
      <c r="K43" s="232"/>
      <c r="L43" s="232"/>
      <c r="M43" s="232"/>
      <c r="N43" s="232">
        <v>660</v>
      </c>
      <c r="O43" s="232"/>
      <c r="P43" s="232"/>
      <c r="Q43" s="232"/>
      <c r="R43" s="232"/>
      <c r="S43" s="232"/>
      <c r="T43" s="232"/>
      <c r="U43" s="232"/>
      <c r="V43" s="232"/>
      <c r="W43" s="232"/>
      <c r="X43" s="232"/>
      <c r="Y43" s="232"/>
      <c r="Z43" s="232"/>
      <c r="AA43" s="232"/>
      <c r="AB43" s="232"/>
      <c r="AC43" s="232"/>
      <c r="AD43" s="232"/>
      <c r="AE43" s="232"/>
      <c r="AF43" s="232"/>
      <c r="AG43" s="232"/>
      <c r="AH43" s="232"/>
      <c r="AI43" s="232"/>
      <c r="AJ43" s="232"/>
      <c r="AK43" s="20">
        <f t="shared" si="13"/>
        <v>660</v>
      </c>
      <c r="AL43" s="60">
        <f t="shared" si="6"/>
        <v>0</v>
      </c>
      <c r="AM43" s="60">
        <f t="shared" si="7"/>
        <v>0</v>
      </c>
      <c r="AN43" s="60" t="str">
        <f t="shared" si="9"/>
        <v>0</v>
      </c>
      <c r="AO43" s="60">
        <f t="shared" si="10"/>
        <v>0</v>
      </c>
      <c r="AP43" s="251"/>
    </row>
    <row r="44" spans="1:42" s="7" customFormat="1" ht="13.5" thickBot="1" x14ac:dyDescent="0.25">
      <c r="A44" s="394"/>
      <c r="B44" s="397"/>
      <c r="C44" s="46" t="s">
        <v>23</v>
      </c>
      <c r="D44" s="71" t="s">
        <v>97</v>
      </c>
      <c r="E44" s="268">
        <v>2100</v>
      </c>
      <c r="F44" s="229">
        <v>2000</v>
      </c>
      <c r="G44" s="250">
        <v>1</v>
      </c>
      <c r="H44" s="263">
        <v>660</v>
      </c>
      <c r="I44" s="11">
        <f t="shared" si="0"/>
        <v>120</v>
      </c>
      <c r="J44" s="48">
        <f t="shared" si="1"/>
        <v>630</v>
      </c>
      <c r="K44" s="232"/>
      <c r="L44" s="232"/>
      <c r="M44" s="232"/>
      <c r="N44" s="232"/>
      <c r="O44" s="232"/>
      <c r="P44" s="232"/>
      <c r="Q44" s="232"/>
      <c r="R44" s="232"/>
      <c r="S44" s="232"/>
      <c r="T44" s="232"/>
      <c r="U44" s="232"/>
      <c r="V44" s="232"/>
      <c r="W44" s="232"/>
      <c r="X44" s="232"/>
      <c r="Y44" s="232"/>
      <c r="Z44" s="232"/>
      <c r="AA44" s="232"/>
      <c r="AB44" s="232"/>
      <c r="AC44" s="232">
        <v>30</v>
      </c>
      <c r="AD44" s="232"/>
      <c r="AE44" s="232"/>
      <c r="AF44" s="232"/>
      <c r="AG44" s="232"/>
      <c r="AH44" s="232"/>
      <c r="AI44" s="232"/>
      <c r="AJ44" s="232"/>
      <c r="AK44" s="65">
        <f t="shared" si="13"/>
        <v>30</v>
      </c>
      <c r="AL44" s="60">
        <f t="shared" si="6"/>
        <v>0.95454545454545459</v>
      </c>
      <c r="AM44" s="60">
        <f t="shared" si="7"/>
        <v>0.95238095238095233</v>
      </c>
      <c r="AN44" s="60">
        <f t="shared" si="9"/>
        <v>0.99950024987506247</v>
      </c>
      <c r="AO44" s="60">
        <f t="shared" si="10"/>
        <v>0.9086365907955114</v>
      </c>
      <c r="AP44" s="251"/>
    </row>
    <row r="45" spans="1:42" s="7" customFormat="1" ht="13.5" thickBot="1" x14ac:dyDescent="0.25">
      <c r="A45" s="395"/>
      <c r="B45" s="398"/>
      <c r="C45" s="54" t="s">
        <v>23</v>
      </c>
      <c r="D45" s="72" t="s">
        <v>50</v>
      </c>
      <c r="E45" s="270">
        <v>1550</v>
      </c>
      <c r="F45" s="235">
        <v>1500</v>
      </c>
      <c r="G45" s="255"/>
      <c r="H45" s="263">
        <v>660</v>
      </c>
      <c r="I45" s="40">
        <f t="shared" si="0"/>
        <v>120</v>
      </c>
      <c r="J45" s="56">
        <f t="shared" si="1"/>
        <v>630</v>
      </c>
      <c r="K45" s="238"/>
      <c r="L45" s="238"/>
      <c r="M45" s="238"/>
      <c r="N45" s="238"/>
      <c r="O45" s="238"/>
      <c r="P45" s="238"/>
      <c r="Q45" s="238"/>
      <c r="R45" s="238"/>
      <c r="S45" s="238"/>
      <c r="T45" s="238"/>
      <c r="U45" s="238"/>
      <c r="V45" s="238"/>
      <c r="W45" s="238"/>
      <c r="X45" s="238"/>
      <c r="Y45" s="238"/>
      <c r="Z45" s="238"/>
      <c r="AA45" s="238">
        <v>30</v>
      </c>
      <c r="AB45" s="238"/>
      <c r="AC45" s="238"/>
      <c r="AD45" s="238"/>
      <c r="AE45" s="238"/>
      <c r="AF45" s="238"/>
      <c r="AG45" s="238"/>
      <c r="AH45" s="238"/>
      <c r="AI45" s="238"/>
      <c r="AJ45" s="238"/>
      <c r="AK45" s="66">
        <f t="shared" si="13"/>
        <v>30</v>
      </c>
      <c r="AL45" s="67">
        <f t="shared" si="6"/>
        <v>0.95454545454545459</v>
      </c>
      <c r="AM45" s="67">
        <f t="shared" si="7"/>
        <v>0.967741935483871</v>
      </c>
      <c r="AN45" s="67">
        <f t="shared" si="9"/>
        <v>1</v>
      </c>
      <c r="AO45" s="67">
        <f t="shared" si="10"/>
        <v>0.92375366568914963</v>
      </c>
      <c r="AP45" s="256"/>
    </row>
    <row r="46" spans="1:42" s="7" customFormat="1" ht="13.5" thickBot="1" x14ac:dyDescent="0.25">
      <c r="A46" s="393">
        <f t="shared" ref="A46" si="20">A41+1</f>
        <v>46031</v>
      </c>
      <c r="B46" s="396">
        <f t="shared" si="15"/>
        <v>46031</v>
      </c>
      <c r="C46" s="50" t="s">
        <v>23</v>
      </c>
      <c r="D46" s="68" t="s">
        <v>47</v>
      </c>
      <c r="E46" s="262"/>
      <c r="F46" s="223"/>
      <c r="G46" s="249"/>
      <c r="H46" s="263">
        <v>660</v>
      </c>
      <c r="I46" s="51">
        <f t="shared" si="0"/>
        <v>0</v>
      </c>
      <c r="J46" s="52">
        <f t="shared" si="1"/>
        <v>660</v>
      </c>
      <c r="K46" s="226"/>
      <c r="L46" s="226"/>
      <c r="M46" s="226"/>
      <c r="N46" s="226"/>
      <c r="O46" s="226"/>
      <c r="P46" s="226"/>
      <c r="Q46" s="226"/>
      <c r="R46" s="226"/>
      <c r="S46" s="226"/>
      <c r="T46" s="226"/>
      <c r="U46" s="226"/>
      <c r="V46" s="226"/>
      <c r="W46" s="226"/>
      <c r="X46" s="226"/>
      <c r="Y46" s="226"/>
      <c r="Z46" s="226"/>
      <c r="AA46" s="226"/>
      <c r="AB46" s="226"/>
      <c r="AC46" s="226"/>
      <c r="AD46" s="226"/>
      <c r="AE46" s="226"/>
      <c r="AF46" s="226"/>
      <c r="AG46" s="226"/>
      <c r="AH46" s="226"/>
      <c r="AI46" s="226"/>
      <c r="AJ46" s="226"/>
      <c r="AK46" s="64">
        <f t="shared" si="13"/>
        <v>0</v>
      </c>
      <c r="AL46" s="59">
        <f t="shared" si="6"/>
        <v>1</v>
      </c>
      <c r="AM46" s="59" t="str">
        <f t="shared" si="7"/>
        <v>0</v>
      </c>
      <c r="AN46" s="59" t="str">
        <f t="shared" si="9"/>
        <v>0</v>
      </c>
      <c r="AO46" s="59">
        <f t="shared" si="10"/>
        <v>0</v>
      </c>
      <c r="AP46" s="243"/>
    </row>
    <row r="47" spans="1:42" s="7" customFormat="1" ht="13.5" thickBot="1" x14ac:dyDescent="0.25">
      <c r="A47" s="394"/>
      <c r="B47" s="397"/>
      <c r="C47" s="46" t="s">
        <v>23</v>
      </c>
      <c r="D47" s="69" t="s">
        <v>48</v>
      </c>
      <c r="E47" s="266"/>
      <c r="F47" s="229"/>
      <c r="G47" s="250"/>
      <c r="H47" s="263">
        <v>660</v>
      </c>
      <c r="I47" s="11">
        <f t="shared" si="0"/>
        <v>0</v>
      </c>
      <c r="J47" s="48">
        <f t="shared" si="1"/>
        <v>660</v>
      </c>
      <c r="K47" s="232"/>
      <c r="L47" s="232"/>
      <c r="M47" s="232"/>
      <c r="N47" s="232"/>
      <c r="O47" s="232"/>
      <c r="P47" s="232"/>
      <c r="Q47" s="232"/>
      <c r="R47" s="232"/>
      <c r="S47" s="232"/>
      <c r="T47" s="232"/>
      <c r="U47" s="232"/>
      <c r="V47" s="232"/>
      <c r="W47" s="232"/>
      <c r="X47" s="232"/>
      <c r="Y47" s="232"/>
      <c r="Z47" s="232"/>
      <c r="AA47" s="232"/>
      <c r="AB47" s="232"/>
      <c r="AC47" s="232"/>
      <c r="AD47" s="232"/>
      <c r="AE47" s="232"/>
      <c r="AF47" s="232"/>
      <c r="AG47" s="232"/>
      <c r="AH47" s="232"/>
      <c r="AI47" s="232"/>
      <c r="AJ47" s="232"/>
      <c r="AK47" s="20">
        <f t="shared" si="13"/>
        <v>0</v>
      </c>
      <c r="AL47" s="60">
        <f t="shared" si="6"/>
        <v>1</v>
      </c>
      <c r="AM47" s="60" t="str">
        <f t="shared" si="7"/>
        <v>0</v>
      </c>
      <c r="AN47" s="60" t="str">
        <f t="shared" si="9"/>
        <v>0</v>
      </c>
      <c r="AO47" s="60">
        <f t="shared" si="10"/>
        <v>0</v>
      </c>
      <c r="AP47" s="251"/>
    </row>
    <row r="48" spans="1:42" s="7" customFormat="1" ht="13.5" thickBot="1" x14ac:dyDescent="0.25">
      <c r="A48" s="394"/>
      <c r="B48" s="397"/>
      <c r="C48" s="8" t="s">
        <v>23</v>
      </c>
      <c r="D48" s="69" t="s">
        <v>51</v>
      </c>
      <c r="E48" s="266"/>
      <c r="F48" s="229"/>
      <c r="G48" s="250"/>
      <c r="H48" s="263">
        <v>660</v>
      </c>
      <c r="I48" s="11">
        <f t="shared" si="0"/>
        <v>0</v>
      </c>
      <c r="J48" s="29">
        <f t="shared" si="1"/>
        <v>660</v>
      </c>
      <c r="K48" s="232"/>
      <c r="L48" s="232"/>
      <c r="M48" s="232"/>
      <c r="N48" s="232"/>
      <c r="O48" s="232"/>
      <c r="P48" s="232"/>
      <c r="Q48" s="232"/>
      <c r="R48" s="232"/>
      <c r="S48" s="232"/>
      <c r="T48" s="232"/>
      <c r="U48" s="232"/>
      <c r="V48" s="232"/>
      <c r="W48" s="232"/>
      <c r="X48" s="232"/>
      <c r="Y48" s="232"/>
      <c r="Z48" s="232"/>
      <c r="AA48" s="232"/>
      <c r="AB48" s="232"/>
      <c r="AC48" s="232"/>
      <c r="AD48" s="232"/>
      <c r="AE48" s="232"/>
      <c r="AF48" s="232"/>
      <c r="AG48" s="232"/>
      <c r="AH48" s="232"/>
      <c r="AI48" s="232"/>
      <c r="AJ48" s="232"/>
      <c r="AK48" s="20">
        <f t="shared" si="13"/>
        <v>0</v>
      </c>
      <c r="AL48" s="60">
        <f t="shared" si="6"/>
        <v>1</v>
      </c>
      <c r="AM48" s="60" t="str">
        <f t="shared" si="7"/>
        <v>0</v>
      </c>
      <c r="AN48" s="60" t="str">
        <f t="shared" si="9"/>
        <v>0</v>
      </c>
      <c r="AO48" s="60">
        <f t="shared" si="10"/>
        <v>0</v>
      </c>
      <c r="AP48" s="251"/>
    </row>
    <row r="49" spans="1:42" s="7" customFormat="1" ht="13.5" thickBot="1" x14ac:dyDescent="0.25">
      <c r="A49" s="394"/>
      <c r="B49" s="397"/>
      <c r="C49" s="46" t="s">
        <v>23</v>
      </c>
      <c r="D49" s="71" t="s">
        <v>97</v>
      </c>
      <c r="E49" s="268"/>
      <c r="F49" s="229"/>
      <c r="G49" s="250"/>
      <c r="H49" s="263">
        <v>660</v>
      </c>
      <c r="I49" s="11">
        <f t="shared" si="0"/>
        <v>0</v>
      </c>
      <c r="J49" s="48">
        <f t="shared" si="1"/>
        <v>660</v>
      </c>
      <c r="K49" s="232"/>
      <c r="L49" s="232"/>
      <c r="M49" s="232"/>
      <c r="N49" s="232"/>
      <c r="O49" s="232"/>
      <c r="P49" s="232"/>
      <c r="Q49" s="232"/>
      <c r="R49" s="232"/>
      <c r="S49" s="232"/>
      <c r="T49" s="232"/>
      <c r="U49" s="232"/>
      <c r="V49" s="232"/>
      <c r="W49" s="232"/>
      <c r="X49" s="232"/>
      <c r="Y49" s="232"/>
      <c r="Z49" s="232"/>
      <c r="AA49" s="232"/>
      <c r="AB49" s="232"/>
      <c r="AC49" s="232"/>
      <c r="AD49" s="232"/>
      <c r="AE49" s="232"/>
      <c r="AF49" s="232"/>
      <c r="AG49" s="232"/>
      <c r="AH49" s="232"/>
      <c r="AI49" s="232"/>
      <c r="AJ49" s="232"/>
      <c r="AK49" s="65">
        <f t="shared" si="13"/>
        <v>0</v>
      </c>
      <c r="AL49" s="60">
        <f t="shared" si="6"/>
        <v>1</v>
      </c>
      <c r="AM49" s="60" t="str">
        <f t="shared" si="7"/>
        <v>0</v>
      </c>
      <c r="AN49" s="60" t="str">
        <f t="shared" si="9"/>
        <v>0</v>
      </c>
      <c r="AO49" s="60">
        <f t="shared" si="10"/>
        <v>0</v>
      </c>
      <c r="AP49" s="251"/>
    </row>
    <row r="50" spans="1:42" s="7" customFormat="1" ht="13.5" thickBot="1" x14ac:dyDescent="0.25">
      <c r="A50" s="395"/>
      <c r="B50" s="398"/>
      <c r="C50" s="54" t="s">
        <v>23</v>
      </c>
      <c r="D50" s="72" t="s">
        <v>50</v>
      </c>
      <c r="E50" s="270"/>
      <c r="F50" s="235"/>
      <c r="G50" s="255"/>
      <c r="H50" s="263">
        <v>660</v>
      </c>
      <c r="I50" s="40">
        <f t="shared" si="0"/>
        <v>0</v>
      </c>
      <c r="J50" s="56">
        <f t="shared" si="1"/>
        <v>660</v>
      </c>
      <c r="K50" s="238"/>
      <c r="L50" s="238"/>
      <c r="M50" s="238"/>
      <c r="N50" s="238"/>
      <c r="O50" s="238"/>
      <c r="P50" s="238"/>
      <c r="Q50" s="238"/>
      <c r="R50" s="238"/>
      <c r="S50" s="238"/>
      <c r="T50" s="238"/>
      <c r="U50" s="238"/>
      <c r="V50" s="238"/>
      <c r="W50" s="238"/>
      <c r="X50" s="238"/>
      <c r="Y50" s="238"/>
      <c r="Z50" s="238"/>
      <c r="AA50" s="238"/>
      <c r="AB50" s="238"/>
      <c r="AC50" s="238"/>
      <c r="AD50" s="238"/>
      <c r="AE50" s="238"/>
      <c r="AF50" s="238"/>
      <c r="AG50" s="238"/>
      <c r="AH50" s="238"/>
      <c r="AI50" s="238"/>
      <c r="AJ50" s="238"/>
      <c r="AK50" s="66">
        <f t="shared" si="13"/>
        <v>0</v>
      </c>
      <c r="AL50" s="67">
        <f t="shared" si="6"/>
        <v>1</v>
      </c>
      <c r="AM50" s="67" t="str">
        <f t="shared" si="7"/>
        <v>0</v>
      </c>
      <c r="AN50" s="67" t="str">
        <f t="shared" si="9"/>
        <v>0</v>
      </c>
      <c r="AO50" s="67">
        <f t="shared" si="10"/>
        <v>0</v>
      </c>
      <c r="AP50" s="256"/>
    </row>
    <row r="51" spans="1:42" s="7" customFormat="1" ht="13.5" thickBot="1" x14ac:dyDescent="0.25">
      <c r="A51" s="393">
        <f t="shared" ref="A51" si="21">A46+1</f>
        <v>46032</v>
      </c>
      <c r="B51" s="396">
        <f t="shared" si="15"/>
        <v>46032</v>
      </c>
      <c r="C51" s="50" t="s">
        <v>23</v>
      </c>
      <c r="D51" s="68" t="s">
        <v>47</v>
      </c>
      <c r="E51" s="262">
        <v>3500</v>
      </c>
      <c r="F51" s="223"/>
      <c r="G51" s="249"/>
      <c r="H51" s="263">
        <v>660</v>
      </c>
      <c r="I51" s="51">
        <f t="shared" si="0"/>
        <v>120</v>
      </c>
      <c r="J51" s="52">
        <f t="shared" si="1"/>
        <v>0</v>
      </c>
      <c r="K51" s="226"/>
      <c r="L51" s="226"/>
      <c r="M51" s="226">
        <v>660</v>
      </c>
      <c r="N51" s="226"/>
      <c r="O51" s="226"/>
      <c r="P51" s="226"/>
      <c r="Q51" s="226"/>
      <c r="R51" s="226"/>
      <c r="S51" s="226"/>
      <c r="T51" s="226"/>
      <c r="U51" s="226"/>
      <c r="V51" s="226"/>
      <c r="W51" s="226"/>
      <c r="X51" s="226"/>
      <c r="Y51" s="226"/>
      <c r="Z51" s="226"/>
      <c r="AA51" s="226"/>
      <c r="AB51" s="226"/>
      <c r="AC51" s="226"/>
      <c r="AD51" s="226"/>
      <c r="AE51" s="226"/>
      <c r="AF51" s="226"/>
      <c r="AG51" s="226"/>
      <c r="AH51" s="226"/>
      <c r="AI51" s="226"/>
      <c r="AJ51" s="226"/>
      <c r="AK51" s="64">
        <f t="shared" si="13"/>
        <v>660</v>
      </c>
      <c r="AL51" s="59">
        <f t="shared" si="6"/>
        <v>0</v>
      </c>
      <c r="AM51" s="59">
        <f t="shared" si="7"/>
        <v>0</v>
      </c>
      <c r="AN51" s="59" t="str">
        <f t="shared" si="9"/>
        <v>0</v>
      </c>
      <c r="AO51" s="59">
        <f t="shared" si="10"/>
        <v>0</v>
      </c>
      <c r="AP51" s="243"/>
    </row>
    <row r="52" spans="1:42" s="7" customFormat="1" ht="13.5" thickBot="1" x14ac:dyDescent="0.25">
      <c r="A52" s="394"/>
      <c r="B52" s="397"/>
      <c r="C52" s="46" t="s">
        <v>23</v>
      </c>
      <c r="D52" s="69" t="s">
        <v>48</v>
      </c>
      <c r="E52" s="266">
        <v>3000</v>
      </c>
      <c r="F52" s="229">
        <v>700</v>
      </c>
      <c r="G52" s="250">
        <v>4</v>
      </c>
      <c r="H52" s="263">
        <v>660</v>
      </c>
      <c r="I52" s="11">
        <f t="shared" si="0"/>
        <v>120</v>
      </c>
      <c r="J52" s="48">
        <f t="shared" si="1"/>
        <v>154</v>
      </c>
      <c r="K52" s="232"/>
      <c r="L52" s="232"/>
      <c r="M52" s="232">
        <v>506</v>
      </c>
      <c r="N52" s="232"/>
      <c r="O52" s="232"/>
      <c r="P52" s="232"/>
      <c r="Q52" s="232"/>
      <c r="R52" s="232"/>
      <c r="S52" s="232"/>
      <c r="T52" s="232"/>
      <c r="U52" s="232"/>
      <c r="V52" s="232"/>
      <c r="W52" s="232"/>
      <c r="X52" s="232"/>
      <c r="Y52" s="232"/>
      <c r="Z52" s="232"/>
      <c r="AA52" s="232"/>
      <c r="AB52" s="232"/>
      <c r="AC52" s="232"/>
      <c r="AD52" s="232"/>
      <c r="AE52" s="232"/>
      <c r="AF52" s="232"/>
      <c r="AG52" s="232"/>
      <c r="AH52" s="232"/>
      <c r="AI52" s="232"/>
      <c r="AJ52" s="232"/>
      <c r="AK52" s="20">
        <f t="shared" si="13"/>
        <v>506</v>
      </c>
      <c r="AL52" s="60">
        <f t="shared" si="6"/>
        <v>0.23333333333333334</v>
      </c>
      <c r="AM52" s="60">
        <f t="shared" si="7"/>
        <v>0.23333333333333334</v>
      </c>
      <c r="AN52" s="60">
        <f t="shared" si="9"/>
        <v>0.99431818181818177</v>
      </c>
      <c r="AO52" s="60">
        <f t="shared" si="10"/>
        <v>5.4135101010101008E-2</v>
      </c>
      <c r="AP52" s="251"/>
    </row>
    <row r="53" spans="1:42" s="7" customFormat="1" ht="13.5" thickBot="1" x14ac:dyDescent="0.25">
      <c r="A53" s="394"/>
      <c r="B53" s="397"/>
      <c r="C53" s="8" t="s">
        <v>23</v>
      </c>
      <c r="D53" s="69" t="s">
        <v>51</v>
      </c>
      <c r="E53" s="266">
        <v>2500</v>
      </c>
      <c r="F53" s="229">
        <v>1626</v>
      </c>
      <c r="G53" s="250">
        <v>8</v>
      </c>
      <c r="H53" s="263">
        <v>660</v>
      </c>
      <c r="I53" s="11">
        <f t="shared" si="0"/>
        <v>120</v>
      </c>
      <c r="J53" s="29">
        <f t="shared" si="1"/>
        <v>430</v>
      </c>
      <c r="K53" s="232"/>
      <c r="L53" s="232"/>
      <c r="M53" s="232"/>
      <c r="N53" s="232"/>
      <c r="O53" s="232">
        <v>120</v>
      </c>
      <c r="P53" s="232"/>
      <c r="Q53" s="232"/>
      <c r="R53" s="232"/>
      <c r="S53" s="232">
        <v>50</v>
      </c>
      <c r="T53" s="232"/>
      <c r="U53" s="232"/>
      <c r="V53" s="232"/>
      <c r="W53" s="232"/>
      <c r="X53" s="232">
        <v>40</v>
      </c>
      <c r="Y53" s="232"/>
      <c r="Z53" s="232"/>
      <c r="AA53" s="232"/>
      <c r="AB53" s="232"/>
      <c r="AC53" s="232">
        <v>20</v>
      </c>
      <c r="AD53" s="232"/>
      <c r="AE53" s="232"/>
      <c r="AF53" s="232"/>
      <c r="AG53" s="232"/>
      <c r="AH53" s="232"/>
      <c r="AI53" s="232"/>
      <c r="AJ53" s="232"/>
      <c r="AK53" s="20">
        <f t="shared" si="13"/>
        <v>230</v>
      </c>
      <c r="AL53" s="60">
        <f t="shared" si="6"/>
        <v>0.65151515151515149</v>
      </c>
      <c r="AM53" s="60">
        <f t="shared" si="7"/>
        <v>0.65039999999999998</v>
      </c>
      <c r="AN53" s="60">
        <f t="shared" si="9"/>
        <v>0.99510403916768664</v>
      </c>
      <c r="AO53" s="60">
        <f t="shared" si="10"/>
        <v>0.42167081339712914</v>
      </c>
      <c r="AP53" s="251"/>
    </row>
    <row r="54" spans="1:42" s="7" customFormat="1" ht="13.5" thickBot="1" x14ac:dyDescent="0.25">
      <c r="A54" s="394"/>
      <c r="B54" s="397"/>
      <c r="C54" s="46" t="s">
        <v>23</v>
      </c>
      <c r="D54" s="71" t="s">
        <v>98</v>
      </c>
      <c r="E54" s="268">
        <v>2100</v>
      </c>
      <c r="F54" s="229">
        <v>2000</v>
      </c>
      <c r="G54" s="250"/>
      <c r="H54" s="263">
        <v>660</v>
      </c>
      <c r="I54" s="11">
        <f t="shared" si="0"/>
        <v>120</v>
      </c>
      <c r="J54" s="48">
        <f t="shared" si="1"/>
        <v>630</v>
      </c>
      <c r="K54" s="232"/>
      <c r="L54" s="232"/>
      <c r="M54" s="232"/>
      <c r="N54" s="232"/>
      <c r="O54" s="232"/>
      <c r="P54" s="232"/>
      <c r="Q54" s="232"/>
      <c r="R54" s="232"/>
      <c r="S54" s="232"/>
      <c r="T54" s="232"/>
      <c r="U54" s="232"/>
      <c r="V54" s="232"/>
      <c r="W54" s="232"/>
      <c r="X54" s="232"/>
      <c r="Y54" s="232"/>
      <c r="Z54" s="232"/>
      <c r="AA54" s="232"/>
      <c r="AB54" s="232"/>
      <c r="AC54" s="232">
        <v>30</v>
      </c>
      <c r="AD54" s="232"/>
      <c r="AE54" s="232"/>
      <c r="AF54" s="232"/>
      <c r="AG54" s="232"/>
      <c r="AH54" s="232"/>
      <c r="AI54" s="232"/>
      <c r="AJ54" s="232"/>
      <c r="AK54" s="65">
        <f t="shared" si="13"/>
        <v>30</v>
      </c>
      <c r="AL54" s="60">
        <f t="shared" si="6"/>
        <v>0.95454545454545459</v>
      </c>
      <c r="AM54" s="60">
        <f t="shared" si="7"/>
        <v>0.95238095238095233</v>
      </c>
      <c r="AN54" s="60">
        <f t="shared" si="9"/>
        <v>1</v>
      </c>
      <c r="AO54" s="60">
        <f t="shared" si="10"/>
        <v>0.90909090909090906</v>
      </c>
      <c r="AP54" s="251"/>
    </row>
    <row r="55" spans="1:42" s="7" customFormat="1" ht="13.5" thickBot="1" x14ac:dyDescent="0.25">
      <c r="A55" s="395"/>
      <c r="B55" s="398"/>
      <c r="C55" s="54" t="s">
        <v>23</v>
      </c>
      <c r="D55" s="72" t="s">
        <v>50</v>
      </c>
      <c r="E55" s="270">
        <v>1550</v>
      </c>
      <c r="F55" s="235">
        <v>1500</v>
      </c>
      <c r="G55" s="255"/>
      <c r="H55" s="263">
        <v>660</v>
      </c>
      <c r="I55" s="40">
        <f t="shared" si="0"/>
        <v>120</v>
      </c>
      <c r="J55" s="56">
        <f t="shared" si="1"/>
        <v>635</v>
      </c>
      <c r="K55" s="238"/>
      <c r="L55" s="238"/>
      <c r="M55" s="238"/>
      <c r="N55" s="238"/>
      <c r="O55" s="238"/>
      <c r="P55" s="238"/>
      <c r="Q55" s="238"/>
      <c r="R55" s="238"/>
      <c r="S55" s="238"/>
      <c r="T55" s="238"/>
      <c r="U55" s="238"/>
      <c r="V55" s="238"/>
      <c r="W55" s="238"/>
      <c r="X55" s="238"/>
      <c r="Y55" s="238"/>
      <c r="Z55" s="238"/>
      <c r="AA55" s="238">
        <v>25</v>
      </c>
      <c r="AB55" s="238"/>
      <c r="AC55" s="238"/>
      <c r="AD55" s="238"/>
      <c r="AE55" s="238"/>
      <c r="AF55" s="238"/>
      <c r="AG55" s="238"/>
      <c r="AH55" s="238"/>
      <c r="AI55" s="238"/>
      <c r="AJ55" s="238"/>
      <c r="AK55" s="66">
        <f t="shared" si="13"/>
        <v>25</v>
      </c>
      <c r="AL55" s="67">
        <f t="shared" si="6"/>
        <v>0.96212121212121215</v>
      </c>
      <c r="AM55" s="67">
        <f t="shared" si="7"/>
        <v>0.967741935483871</v>
      </c>
      <c r="AN55" s="67">
        <f t="shared" si="9"/>
        <v>1</v>
      </c>
      <c r="AO55" s="67">
        <f t="shared" si="10"/>
        <v>0.93108504398826986</v>
      </c>
      <c r="AP55" s="256"/>
    </row>
    <row r="56" spans="1:42" s="7" customFormat="1" ht="13.5" thickBot="1" x14ac:dyDescent="0.25">
      <c r="A56" s="393">
        <f t="shared" ref="A56" si="22">A51+1</f>
        <v>46033</v>
      </c>
      <c r="B56" s="396">
        <f t="shared" si="15"/>
        <v>46033</v>
      </c>
      <c r="C56" s="50" t="s">
        <v>23</v>
      </c>
      <c r="D56" s="68" t="s">
        <v>47</v>
      </c>
      <c r="E56" s="262">
        <v>3500</v>
      </c>
      <c r="F56" s="223">
        <v>3410</v>
      </c>
      <c r="G56" s="249">
        <v>8</v>
      </c>
      <c r="H56" s="263">
        <v>660</v>
      </c>
      <c r="I56" s="51">
        <f t="shared" si="0"/>
        <v>120</v>
      </c>
      <c r="J56" s="52">
        <f t="shared" si="1"/>
        <v>640</v>
      </c>
      <c r="K56" s="226"/>
      <c r="L56" s="226"/>
      <c r="M56" s="226"/>
      <c r="N56" s="226"/>
      <c r="O56" s="226"/>
      <c r="P56" s="226"/>
      <c r="Q56" s="226"/>
      <c r="R56" s="226"/>
      <c r="S56" s="226"/>
      <c r="T56" s="226"/>
      <c r="U56" s="226"/>
      <c r="V56" s="226"/>
      <c r="W56" s="226"/>
      <c r="X56" s="226"/>
      <c r="Y56" s="226">
        <v>20</v>
      </c>
      <c r="Z56" s="226"/>
      <c r="AA56" s="226"/>
      <c r="AB56" s="226"/>
      <c r="AC56" s="226"/>
      <c r="AD56" s="226"/>
      <c r="AE56" s="226"/>
      <c r="AF56" s="226"/>
      <c r="AG56" s="226"/>
      <c r="AH56" s="226"/>
      <c r="AI56" s="226"/>
      <c r="AJ56" s="226"/>
      <c r="AK56" s="64">
        <f t="shared" si="13"/>
        <v>20</v>
      </c>
      <c r="AL56" s="59">
        <f t="shared" si="6"/>
        <v>0.96969696969696972</v>
      </c>
      <c r="AM56" s="59">
        <f t="shared" si="7"/>
        <v>0.97428571428571431</v>
      </c>
      <c r="AN56" s="59">
        <f t="shared" si="9"/>
        <v>0.99765944997074307</v>
      </c>
      <c r="AO56" s="59">
        <f t="shared" si="10"/>
        <v>0.9425506422580735</v>
      </c>
      <c r="AP56" s="243"/>
    </row>
    <row r="57" spans="1:42" s="7" customFormat="1" ht="13.5" thickBot="1" x14ac:dyDescent="0.25">
      <c r="A57" s="394"/>
      <c r="B57" s="397"/>
      <c r="C57" s="46" t="s">
        <v>23</v>
      </c>
      <c r="D57" s="69" t="s">
        <v>48</v>
      </c>
      <c r="E57" s="266">
        <v>3000</v>
      </c>
      <c r="F57" s="229">
        <v>1360</v>
      </c>
      <c r="G57" s="250">
        <v>2</v>
      </c>
      <c r="H57" s="263">
        <v>660</v>
      </c>
      <c r="I57" s="11">
        <f t="shared" si="0"/>
        <v>120</v>
      </c>
      <c r="J57" s="48">
        <f t="shared" si="1"/>
        <v>300</v>
      </c>
      <c r="K57" s="232"/>
      <c r="L57" s="226"/>
      <c r="M57" s="232">
        <v>330</v>
      </c>
      <c r="N57" s="232"/>
      <c r="O57" s="232"/>
      <c r="P57" s="232"/>
      <c r="Q57" s="232"/>
      <c r="R57" s="232"/>
      <c r="S57" s="232"/>
      <c r="T57" s="232"/>
      <c r="U57" s="232"/>
      <c r="V57" s="232"/>
      <c r="W57" s="232"/>
      <c r="X57" s="232"/>
      <c r="Y57" s="232">
        <v>30</v>
      </c>
      <c r="Z57" s="232"/>
      <c r="AA57" s="232"/>
      <c r="AB57" s="232"/>
      <c r="AC57" s="232"/>
      <c r="AD57" s="232"/>
      <c r="AE57" s="232"/>
      <c r="AF57" s="232"/>
      <c r="AG57" s="232"/>
      <c r="AH57" s="232"/>
      <c r="AI57" s="232"/>
      <c r="AJ57" s="232"/>
      <c r="AK57" s="20">
        <f t="shared" si="13"/>
        <v>360</v>
      </c>
      <c r="AL57" s="60">
        <f t="shared" si="6"/>
        <v>0.45454545454545453</v>
      </c>
      <c r="AM57" s="60">
        <f t="shared" si="7"/>
        <v>0.45333333333333331</v>
      </c>
      <c r="AN57" s="60">
        <f t="shared" si="9"/>
        <v>0.99853157121879588</v>
      </c>
      <c r="AO57" s="60">
        <f t="shared" si="10"/>
        <v>0.20575802073599428</v>
      </c>
      <c r="AP57" s="251"/>
    </row>
    <row r="58" spans="1:42" s="7" customFormat="1" ht="13.5" thickBot="1" x14ac:dyDescent="0.25">
      <c r="A58" s="394"/>
      <c r="B58" s="397"/>
      <c r="C58" s="8" t="s">
        <v>23</v>
      </c>
      <c r="D58" s="69" t="s">
        <v>51</v>
      </c>
      <c r="E58" s="266">
        <v>2500</v>
      </c>
      <c r="F58" s="229">
        <v>1291</v>
      </c>
      <c r="G58" s="250"/>
      <c r="H58" s="263">
        <v>660</v>
      </c>
      <c r="I58" s="11">
        <f t="shared" si="0"/>
        <v>120</v>
      </c>
      <c r="J58" s="29">
        <f t="shared" si="1"/>
        <v>340</v>
      </c>
      <c r="K58" s="253"/>
      <c r="L58" s="226"/>
      <c r="M58" s="253"/>
      <c r="N58" s="253">
        <v>110</v>
      </c>
      <c r="O58" s="253"/>
      <c r="P58" s="253"/>
      <c r="Q58" s="253"/>
      <c r="R58" s="253"/>
      <c r="S58" s="253">
        <v>120</v>
      </c>
      <c r="T58" s="253"/>
      <c r="U58" s="253"/>
      <c r="V58" s="253"/>
      <c r="W58" s="253"/>
      <c r="X58" s="253"/>
      <c r="Y58" s="253">
        <v>60</v>
      </c>
      <c r="Z58" s="253"/>
      <c r="AA58" s="253"/>
      <c r="AB58" s="253"/>
      <c r="AC58" s="253">
        <v>30</v>
      </c>
      <c r="AD58" s="253"/>
      <c r="AE58" s="253"/>
      <c r="AF58" s="253"/>
      <c r="AG58" s="253"/>
      <c r="AH58" s="253"/>
      <c r="AI58" s="232"/>
      <c r="AJ58" s="232"/>
      <c r="AK58" s="20">
        <f t="shared" si="13"/>
        <v>320</v>
      </c>
      <c r="AL58" s="60">
        <f t="shared" si="6"/>
        <v>0.51515151515151514</v>
      </c>
      <c r="AM58" s="60">
        <f t="shared" si="7"/>
        <v>0.51639999999999997</v>
      </c>
      <c r="AN58" s="60">
        <f t="shared" si="9"/>
        <v>1</v>
      </c>
      <c r="AO58" s="60">
        <f t="shared" si="10"/>
        <v>0.26602424242424239</v>
      </c>
      <c r="AP58" s="251"/>
    </row>
    <row r="59" spans="1:42" s="7" customFormat="1" ht="13.5" thickBot="1" x14ac:dyDescent="0.25">
      <c r="A59" s="394"/>
      <c r="B59" s="397"/>
      <c r="C59" s="46" t="s">
        <v>23</v>
      </c>
      <c r="D59" s="71" t="s">
        <v>97</v>
      </c>
      <c r="E59" s="268">
        <v>2100</v>
      </c>
      <c r="F59" s="229">
        <v>2000</v>
      </c>
      <c r="G59" s="250"/>
      <c r="H59" s="263">
        <v>660</v>
      </c>
      <c r="I59" s="11">
        <f t="shared" si="0"/>
        <v>120</v>
      </c>
      <c r="J59" s="29">
        <f t="shared" si="1"/>
        <v>630</v>
      </c>
      <c r="K59" s="257"/>
      <c r="L59" s="257"/>
      <c r="M59" s="257"/>
      <c r="N59" s="257"/>
      <c r="O59" s="257"/>
      <c r="P59" s="257"/>
      <c r="Q59" s="257"/>
      <c r="R59" s="257"/>
      <c r="S59" s="257"/>
      <c r="T59" s="257"/>
      <c r="U59" s="257"/>
      <c r="V59" s="257"/>
      <c r="W59" s="257"/>
      <c r="X59" s="257"/>
      <c r="Y59" s="257"/>
      <c r="Z59" s="257"/>
      <c r="AA59" s="257"/>
      <c r="AB59" s="257"/>
      <c r="AC59" s="257">
        <v>30</v>
      </c>
      <c r="AD59" s="257"/>
      <c r="AE59" s="257"/>
      <c r="AF59" s="257"/>
      <c r="AG59" s="257"/>
      <c r="AH59" s="257"/>
      <c r="AI59" s="258"/>
      <c r="AJ59" s="232"/>
      <c r="AK59" s="65">
        <f t="shared" si="13"/>
        <v>30</v>
      </c>
      <c r="AL59" s="60">
        <f t="shared" si="6"/>
        <v>0.95454545454545459</v>
      </c>
      <c r="AM59" s="60">
        <f t="shared" si="7"/>
        <v>0.95238095238095233</v>
      </c>
      <c r="AN59" s="60">
        <f t="shared" si="9"/>
        <v>1</v>
      </c>
      <c r="AO59" s="60">
        <f t="shared" si="10"/>
        <v>0.90909090909090906</v>
      </c>
      <c r="AP59" s="251"/>
    </row>
    <row r="60" spans="1:42" s="7" customFormat="1" ht="13.5" thickBot="1" x14ac:dyDescent="0.25">
      <c r="A60" s="395"/>
      <c r="B60" s="398"/>
      <c r="C60" s="54" t="s">
        <v>23</v>
      </c>
      <c r="D60" s="72" t="s">
        <v>50</v>
      </c>
      <c r="E60" s="270">
        <v>1550</v>
      </c>
      <c r="F60" s="235">
        <v>1000</v>
      </c>
      <c r="G60" s="255"/>
      <c r="H60" s="263">
        <v>660</v>
      </c>
      <c r="I60" s="40">
        <f t="shared" si="0"/>
        <v>120</v>
      </c>
      <c r="J60" s="56">
        <f t="shared" si="1"/>
        <v>425</v>
      </c>
      <c r="K60" s="257"/>
      <c r="L60" s="257"/>
      <c r="M60" s="257">
        <v>180</v>
      </c>
      <c r="N60" s="257"/>
      <c r="O60" s="257"/>
      <c r="P60" s="257"/>
      <c r="Q60" s="257"/>
      <c r="R60" s="257"/>
      <c r="S60" s="244"/>
      <c r="T60" s="244"/>
      <c r="U60" s="244"/>
      <c r="V60" s="244"/>
      <c r="W60" s="244"/>
      <c r="X60" s="244"/>
      <c r="Y60" s="244"/>
      <c r="Z60" s="244"/>
      <c r="AA60" s="244">
        <v>55</v>
      </c>
      <c r="AB60" s="244"/>
      <c r="AC60" s="244"/>
      <c r="AD60" s="244"/>
      <c r="AE60" s="244"/>
      <c r="AF60" s="244"/>
      <c r="AG60" s="244"/>
      <c r="AH60" s="244"/>
      <c r="AI60" s="238"/>
      <c r="AJ60" s="238"/>
      <c r="AK60" s="66">
        <f t="shared" si="13"/>
        <v>235</v>
      </c>
      <c r="AL60" s="67">
        <f t="shared" si="6"/>
        <v>0.64393939393939392</v>
      </c>
      <c r="AM60" s="67">
        <f t="shared" si="7"/>
        <v>0.64516129032258063</v>
      </c>
      <c r="AN60" s="67">
        <f t="shared" si="9"/>
        <v>1</v>
      </c>
      <c r="AO60" s="67">
        <f t="shared" si="10"/>
        <v>0.41544477028347992</v>
      </c>
      <c r="AP60" s="256"/>
    </row>
    <row r="61" spans="1:42" s="7" customFormat="1" ht="13.5" thickBot="1" x14ac:dyDescent="0.25">
      <c r="A61" s="393">
        <f t="shared" ref="A61" si="23">A56+1</f>
        <v>46034</v>
      </c>
      <c r="B61" s="396">
        <f t="shared" si="15"/>
        <v>46034</v>
      </c>
      <c r="C61" s="50" t="s">
        <v>23</v>
      </c>
      <c r="D61" s="68" t="s">
        <v>47</v>
      </c>
      <c r="E61" s="262">
        <v>3500</v>
      </c>
      <c r="F61" s="223">
        <v>2466</v>
      </c>
      <c r="G61" s="249">
        <v>12</v>
      </c>
      <c r="H61" s="263">
        <v>660</v>
      </c>
      <c r="I61" s="51">
        <f t="shared" si="0"/>
        <v>120</v>
      </c>
      <c r="J61" s="52">
        <f t="shared" si="1"/>
        <v>465</v>
      </c>
      <c r="K61" s="226"/>
      <c r="L61" s="226"/>
      <c r="M61" s="226"/>
      <c r="N61" s="226"/>
      <c r="O61" s="226"/>
      <c r="P61" s="226"/>
      <c r="Q61" s="226"/>
      <c r="R61" s="226"/>
      <c r="S61" s="226">
        <v>120</v>
      </c>
      <c r="T61" s="226"/>
      <c r="U61" s="226"/>
      <c r="V61" s="226"/>
      <c r="W61" s="226"/>
      <c r="X61" s="226"/>
      <c r="Y61" s="226">
        <v>30</v>
      </c>
      <c r="Z61" s="226"/>
      <c r="AA61" s="226"/>
      <c r="AB61" s="226"/>
      <c r="AC61" s="226">
        <v>30</v>
      </c>
      <c r="AD61" s="226"/>
      <c r="AE61" s="226"/>
      <c r="AF61" s="226"/>
      <c r="AG61" s="226">
        <v>15</v>
      </c>
      <c r="AH61" s="226"/>
      <c r="AI61" s="226"/>
      <c r="AJ61" s="226"/>
      <c r="AK61" s="64">
        <f t="shared" si="13"/>
        <v>195</v>
      </c>
      <c r="AL61" s="59">
        <f t="shared" si="6"/>
        <v>0.70454545454545459</v>
      </c>
      <c r="AM61" s="59">
        <f t="shared" si="7"/>
        <v>0.70457142857142863</v>
      </c>
      <c r="AN61" s="59">
        <f t="shared" si="9"/>
        <v>0.99515738498789341</v>
      </c>
      <c r="AO61" s="59">
        <f t="shared" si="10"/>
        <v>0.4939987107323669</v>
      </c>
      <c r="AP61" s="243"/>
    </row>
    <row r="62" spans="1:42" s="7" customFormat="1" ht="13.5" thickBot="1" x14ac:dyDescent="0.25">
      <c r="A62" s="394"/>
      <c r="B62" s="397"/>
      <c r="C62" s="46" t="s">
        <v>23</v>
      </c>
      <c r="D62" s="69" t="s">
        <v>48</v>
      </c>
      <c r="E62" s="266">
        <v>3000</v>
      </c>
      <c r="F62" s="229"/>
      <c r="G62" s="250"/>
      <c r="H62" s="263">
        <v>660</v>
      </c>
      <c r="I62" s="11">
        <f t="shared" si="0"/>
        <v>120</v>
      </c>
      <c r="J62" s="48">
        <f t="shared" si="1"/>
        <v>0</v>
      </c>
      <c r="K62" s="232"/>
      <c r="L62" s="232"/>
      <c r="M62" s="232">
        <v>660</v>
      </c>
      <c r="N62" s="232"/>
      <c r="O62" s="232"/>
      <c r="P62" s="232"/>
      <c r="Q62" s="232"/>
      <c r="R62" s="232"/>
      <c r="S62" s="232"/>
      <c r="T62" s="232"/>
      <c r="U62" s="232"/>
      <c r="V62" s="232"/>
      <c r="W62" s="232"/>
      <c r="X62" s="232"/>
      <c r="Y62" s="232"/>
      <c r="Z62" s="232"/>
      <c r="AA62" s="232"/>
      <c r="AB62" s="232"/>
      <c r="AC62" s="232"/>
      <c r="AD62" s="232"/>
      <c r="AE62" s="232"/>
      <c r="AF62" s="232"/>
      <c r="AG62" s="232"/>
      <c r="AH62" s="232"/>
      <c r="AI62" s="232"/>
      <c r="AJ62" s="232"/>
      <c r="AK62" s="20">
        <f t="shared" si="13"/>
        <v>660</v>
      </c>
      <c r="AL62" s="60">
        <f t="shared" si="6"/>
        <v>0</v>
      </c>
      <c r="AM62" s="60">
        <f t="shared" si="7"/>
        <v>0</v>
      </c>
      <c r="AN62" s="60" t="str">
        <f t="shared" si="9"/>
        <v>0</v>
      </c>
      <c r="AO62" s="60">
        <f t="shared" si="10"/>
        <v>0</v>
      </c>
      <c r="AP62" s="251"/>
    </row>
    <row r="63" spans="1:42" s="7" customFormat="1" ht="13.5" thickBot="1" x14ac:dyDescent="0.25">
      <c r="A63" s="394"/>
      <c r="B63" s="397"/>
      <c r="C63" s="8" t="s">
        <v>23</v>
      </c>
      <c r="D63" s="69" t="s">
        <v>51</v>
      </c>
      <c r="E63" s="266">
        <v>2500</v>
      </c>
      <c r="F63" s="229">
        <v>1367</v>
      </c>
      <c r="G63" s="250">
        <v>4</v>
      </c>
      <c r="H63" s="263">
        <v>660</v>
      </c>
      <c r="I63" s="11">
        <f t="shared" si="0"/>
        <v>120</v>
      </c>
      <c r="J63" s="29">
        <f t="shared" si="1"/>
        <v>360</v>
      </c>
      <c r="K63" s="232"/>
      <c r="L63" s="232"/>
      <c r="M63" s="232"/>
      <c r="N63" s="232">
        <v>240</v>
      </c>
      <c r="O63" s="232"/>
      <c r="P63" s="232"/>
      <c r="Q63" s="232"/>
      <c r="R63" s="232"/>
      <c r="S63" s="232">
        <v>20</v>
      </c>
      <c r="T63" s="232"/>
      <c r="U63" s="232"/>
      <c r="V63" s="232"/>
      <c r="W63" s="232"/>
      <c r="X63" s="232"/>
      <c r="Y63" s="232">
        <v>20</v>
      </c>
      <c r="Z63" s="232"/>
      <c r="AA63" s="232"/>
      <c r="AB63" s="232"/>
      <c r="AC63" s="232">
        <v>20</v>
      </c>
      <c r="AD63" s="232"/>
      <c r="AE63" s="232"/>
      <c r="AF63" s="232"/>
      <c r="AG63" s="232"/>
      <c r="AH63" s="232"/>
      <c r="AI63" s="232"/>
      <c r="AJ63" s="232"/>
      <c r="AK63" s="20">
        <f t="shared" si="13"/>
        <v>300</v>
      </c>
      <c r="AL63" s="60">
        <f t="shared" si="6"/>
        <v>0.54545454545454541</v>
      </c>
      <c r="AM63" s="60">
        <f t="shared" si="7"/>
        <v>0.54679999999999995</v>
      </c>
      <c r="AN63" s="60">
        <f t="shared" si="9"/>
        <v>0.9970824215900802</v>
      </c>
      <c r="AO63" s="60">
        <f t="shared" si="10"/>
        <v>0.29738436443206678</v>
      </c>
      <c r="AP63" s="251"/>
    </row>
    <row r="64" spans="1:42" s="7" customFormat="1" ht="13.5" thickBot="1" x14ac:dyDescent="0.25">
      <c r="A64" s="394"/>
      <c r="B64" s="397"/>
      <c r="C64" s="46" t="s">
        <v>23</v>
      </c>
      <c r="D64" s="71" t="s">
        <v>97</v>
      </c>
      <c r="E64" s="268">
        <v>2100</v>
      </c>
      <c r="F64" s="229">
        <v>2000</v>
      </c>
      <c r="G64" s="250">
        <v>2</v>
      </c>
      <c r="H64" s="263">
        <v>660</v>
      </c>
      <c r="I64" s="11">
        <f t="shared" si="0"/>
        <v>120</v>
      </c>
      <c r="J64" s="48">
        <f t="shared" si="1"/>
        <v>630</v>
      </c>
      <c r="K64" s="232"/>
      <c r="L64" s="232"/>
      <c r="M64" s="232"/>
      <c r="N64" s="232"/>
      <c r="O64" s="232"/>
      <c r="P64" s="232"/>
      <c r="Q64" s="232"/>
      <c r="R64" s="232"/>
      <c r="S64" s="232"/>
      <c r="T64" s="232"/>
      <c r="U64" s="232"/>
      <c r="V64" s="232"/>
      <c r="W64" s="232"/>
      <c r="X64" s="232"/>
      <c r="Y64" s="232"/>
      <c r="Z64" s="232"/>
      <c r="AA64" s="232"/>
      <c r="AB64" s="232"/>
      <c r="AC64" s="232">
        <v>30</v>
      </c>
      <c r="AD64" s="232"/>
      <c r="AE64" s="232"/>
      <c r="AF64" s="232"/>
      <c r="AG64" s="232"/>
      <c r="AH64" s="232"/>
      <c r="AI64" s="232"/>
      <c r="AJ64" s="232"/>
      <c r="AK64" s="65">
        <f t="shared" si="13"/>
        <v>30</v>
      </c>
      <c r="AL64" s="60">
        <f t="shared" si="6"/>
        <v>0.95454545454545459</v>
      </c>
      <c r="AM64" s="60">
        <f t="shared" si="7"/>
        <v>0.95238095238095233</v>
      </c>
      <c r="AN64" s="60">
        <f t="shared" si="9"/>
        <v>0.99900099900099903</v>
      </c>
      <c r="AO64" s="60">
        <f t="shared" si="10"/>
        <v>0.90818272636454456</v>
      </c>
      <c r="AP64" s="251"/>
    </row>
    <row r="65" spans="1:42" s="7" customFormat="1" ht="13.5" thickBot="1" x14ac:dyDescent="0.25">
      <c r="A65" s="395"/>
      <c r="B65" s="398"/>
      <c r="C65" s="54" t="s">
        <v>23</v>
      </c>
      <c r="D65" s="72" t="s">
        <v>50</v>
      </c>
      <c r="E65" s="270">
        <v>1550</v>
      </c>
      <c r="F65" s="235">
        <v>1500</v>
      </c>
      <c r="G65" s="255"/>
      <c r="H65" s="263">
        <v>660</v>
      </c>
      <c r="I65" s="40">
        <f t="shared" si="0"/>
        <v>120</v>
      </c>
      <c r="J65" s="56">
        <f t="shared" si="1"/>
        <v>640</v>
      </c>
      <c r="K65" s="238"/>
      <c r="L65" s="238"/>
      <c r="M65" s="238"/>
      <c r="N65" s="238"/>
      <c r="O65" s="238"/>
      <c r="P65" s="238"/>
      <c r="Q65" s="238"/>
      <c r="R65" s="238"/>
      <c r="S65" s="238"/>
      <c r="T65" s="238"/>
      <c r="U65" s="238"/>
      <c r="V65" s="238"/>
      <c r="W65" s="238"/>
      <c r="X65" s="238"/>
      <c r="Y65" s="238"/>
      <c r="Z65" s="238"/>
      <c r="AA65" s="238"/>
      <c r="AB65" s="238"/>
      <c r="AC65" s="238">
        <v>20</v>
      </c>
      <c r="AD65" s="238"/>
      <c r="AE65" s="238"/>
      <c r="AF65" s="238"/>
      <c r="AG65" s="238"/>
      <c r="AH65" s="238"/>
      <c r="AI65" s="238"/>
      <c r="AJ65" s="238"/>
      <c r="AK65" s="66">
        <f t="shared" si="13"/>
        <v>20</v>
      </c>
      <c r="AL65" s="67">
        <f t="shared" si="6"/>
        <v>0.96969696969696972</v>
      </c>
      <c r="AM65" s="67">
        <f t="shared" si="7"/>
        <v>0.967741935483871</v>
      </c>
      <c r="AN65" s="67">
        <f t="shared" si="9"/>
        <v>1</v>
      </c>
      <c r="AO65" s="67">
        <f t="shared" si="10"/>
        <v>0.93841642228739008</v>
      </c>
      <c r="AP65" s="256"/>
    </row>
    <row r="66" spans="1:42" s="7" customFormat="1" ht="13.5" thickBot="1" x14ac:dyDescent="0.25">
      <c r="A66" s="393">
        <f t="shared" ref="A66" si="24">A61+1</f>
        <v>46035</v>
      </c>
      <c r="B66" s="396">
        <f t="shared" si="15"/>
        <v>46035</v>
      </c>
      <c r="C66" s="50" t="s">
        <v>23</v>
      </c>
      <c r="D66" s="68" t="s">
        <v>47</v>
      </c>
      <c r="E66" s="262">
        <v>3500</v>
      </c>
      <c r="F66" s="223">
        <v>2373</v>
      </c>
      <c r="G66" s="249">
        <v>9</v>
      </c>
      <c r="H66" s="263">
        <v>660</v>
      </c>
      <c r="I66" s="51">
        <f t="shared" si="0"/>
        <v>120</v>
      </c>
      <c r="J66" s="52">
        <f t="shared" si="1"/>
        <v>450</v>
      </c>
      <c r="K66" s="226"/>
      <c r="L66" s="226"/>
      <c r="M66" s="226">
        <v>180</v>
      </c>
      <c r="N66" s="226"/>
      <c r="O66" s="226"/>
      <c r="P66" s="226"/>
      <c r="Q66" s="226"/>
      <c r="R66" s="226"/>
      <c r="S66" s="226"/>
      <c r="T66" s="226"/>
      <c r="U66" s="226"/>
      <c r="V66" s="226"/>
      <c r="W66" s="226"/>
      <c r="X66" s="226"/>
      <c r="Y66" s="226">
        <v>10</v>
      </c>
      <c r="Z66" s="226"/>
      <c r="AA66" s="226"/>
      <c r="AB66" s="226"/>
      <c r="AC66" s="226">
        <v>20</v>
      </c>
      <c r="AD66" s="226"/>
      <c r="AE66" s="226"/>
      <c r="AF66" s="226"/>
      <c r="AG66" s="226"/>
      <c r="AH66" s="226"/>
      <c r="AI66" s="226"/>
      <c r="AJ66" s="226"/>
      <c r="AK66" s="64">
        <f t="shared" si="13"/>
        <v>210</v>
      </c>
      <c r="AL66" s="59">
        <f t="shared" si="6"/>
        <v>0.68181818181818177</v>
      </c>
      <c r="AM66" s="59">
        <f t="shared" si="7"/>
        <v>0.67800000000000005</v>
      </c>
      <c r="AN66" s="59">
        <f t="shared" si="9"/>
        <v>0.99622166246851385</v>
      </c>
      <c r="AO66" s="59">
        <f t="shared" si="10"/>
        <v>0.46052610487749024</v>
      </c>
      <c r="AP66" s="243"/>
    </row>
    <row r="67" spans="1:42" s="7" customFormat="1" ht="13.5" thickBot="1" x14ac:dyDescent="0.25">
      <c r="A67" s="394"/>
      <c r="B67" s="397"/>
      <c r="C67" s="46" t="s">
        <v>23</v>
      </c>
      <c r="D67" s="69" t="s">
        <v>48</v>
      </c>
      <c r="E67" s="266">
        <v>3000</v>
      </c>
      <c r="F67" s="229">
        <v>2200</v>
      </c>
      <c r="G67" s="250">
        <v>4</v>
      </c>
      <c r="H67" s="263">
        <v>660</v>
      </c>
      <c r="I67" s="11">
        <f t="shared" si="0"/>
        <v>120</v>
      </c>
      <c r="J67" s="48">
        <f t="shared" si="1"/>
        <v>485</v>
      </c>
      <c r="K67" s="232"/>
      <c r="L67" s="232"/>
      <c r="M67" s="232">
        <v>120</v>
      </c>
      <c r="N67" s="232"/>
      <c r="O67" s="232"/>
      <c r="P67" s="232"/>
      <c r="Q67" s="232"/>
      <c r="R67" s="232"/>
      <c r="S67" s="232"/>
      <c r="T67" s="232"/>
      <c r="U67" s="232"/>
      <c r="V67" s="232"/>
      <c r="W67" s="232"/>
      <c r="X67" s="232"/>
      <c r="Y67" s="232">
        <v>25</v>
      </c>
      <c r="Z67" s="232"/>
      <c r="AA67" s="232"/>
      <c r="AB67" s="232"/>
      <c r="AC67" s="232">
        <v>30</v>
      </c>
      <c r="AD67" s="232"/>
      <c r="AE67" s="232"/>
      <c r="AF67" s="232"/>
      <c r="AG67" s="232"/>
      <c r="AH67" s="232"/>
      <c r="AI67" s="232"/>
      <c r="AJ67" s="232"/>
      <c r="AK67" s="20">
        <f t="shared" si="13"/>
        <v>175</v>
      </c>
      <c r="AL67" s="60">
        <f t="shared" si="6"/>
        <v>0.73484848484848486</v>
      </c>
      <c r="AM67" s="60">
        <f t="shared" si="7"/>
        <v>0.73333333333333328</v>
      </c>
      <c r="AN67" s="60">
        <f t="shared" si="9"/>
        <v>0.99818511796733211</v>
      </c>
      <c r="AO67" s="60">
        <f t="shared" si="10"/>
        <v>0.53791086912684005</v>
      </c>
      <c r="AP67" s="251"/>
    </row>
    <row r="68" spans="1:42" s="7" customFormat="1" ht="13.5" thickBot="1" x14ac:dyDescent="0.25">
      <c r="A68" s="394"/>
      <c r="B68" s="397"/>
      <c r="C68" s="8" t="s">
        <v>23</v>
      </c>
      <c r="D68" s="69" t="s">
        <v>105</v>
      </c>
      <c r="E68" s="266">
        <v>2500</v>
      </c>
      <c r="F68" s="229">
        <v>778</v>
      </c>
      <c r="G68" s="250"/>
      <c r="H68" s="263">
        <v>660</v>
      </c>
      <c r="I68" s="11">
        <f t="shared" si="0"/>
        <v>120</v>
      </c>
      <c r="J68" s="29">
        <f t="shared" si="1"/>
        <v>205</v>
      </c>
      <c r="K68" s="232"/>
      <c r="L68" s="232"/>
      <c r="M68" s="232">
        <v>360</v>
      </c>
      <c r="N68" s="232">
        <v>25</v>
      </c>
      <c r="O68" s="232"/>
      <c r="P68" s="232"/>
      <c r="Q68" s="232"/>
      <c r="R68" s="232"/>
      <c r="S68" s="232">
        <v>20</v>
      </c>
      <c r="T68" s="232"/>
      <c r="U68" s="232"/>
      <c r="V68" s="232"/>
      <c r="W68" s="232"/>
      <c r="X68" s="232"/>
      <c r="Y68" s="232">
        <v>20</v>
      </c>
      <c r="Z68" s="232"/>
      <c r="AA68" s="232"/>
      <c r="AB68" s="232"/>
      <c r="AC68" s="232">
        <v>30</v>
      </c>
      <c r="AD68" s="232"/>
      <c r="AE68" s="232"/>
      <c r="AF68" s="232"/>
      <c r="AG68" s="232"/>
      <c r="AH68" s="232"/>
      <c r="AI68" s="232"/>
      <c r="AJ68" s="232"/>
      <c r="AK68" s="20">
        <f t="shared" si="13"/>
        <v>455</v>
      </c>
      <c r="AL68" s="60">
        <f t="shared" si="6"/>
        <v>0.31060606060606061</v>
      </c>
      <c r="AM68" s="60">
        <f t="shared" si="7"/>
        <v>0.31119999999999998</v>
      </c>
      <c r="AN68" s="60">
        <f t="shared" si="9"/>
        <v>1</v>
      </c>
      <c r="AO68" s="60">
        <f t="shared" si="10"/>
        <v>9.6660606060606058E-2</v>
      </c>
      <c r="AP68" s="251"/>
    </row>
    <row r="69" spans="1:42" s="7" customFormat="1" ht="13.5" thickBot="1" x14ac:dyDescent="0.25">
      <c r="A69" s="394"/>
      <c r="B69" s="397"/>
      <c r="C69" s="46" t="s">
        <v>23</v>
      </c>
      <c r="D69" s="71" t="s">
        <v>97</v>
      </c>
      <c r="E69" s="268">
        <v>2100</v>
      </c>
      <c r="F69" s="229">
        <v>2000</v>
      </c>
      <c r="G69" s="250"/>
      <c r="H69" s="263">
        <v>660</v>
      </c>
      <c r="I69" s="11">
        <f t="shared" si="0"/>
        <v>120</v>
      </c>
      <c r="J69" s="48">
        <f t="shared" si="1"/>
        <v>630</v>
      </c>
      <c r="K69" s="232"/>
      <c r="L69" s="232"/>
      <c r="M69" s="232"/>
      <c r="N69" s="232"/>
      <c r="O69" s="232"/>
      <c r="P69" s="232"/>
      <c r="Q69" s="232"/>
      <c r="R69" s="232"/>
      <c r="S69" s="232"/>
      <c r="T69" s="232"/>
      <c r="U69" s="232"/>
      <c r="V69" s="232"/>
      <c r="W69" s="232"/>
      <c r="X69" s="232"/>
      <c r="Y69" s="232"/>
      <c r="Z69" s="232"/>
      <c r="AA69" s="232"/>
      <c r="AB69" s="232"/>
      <c r="AC69" s="232">
        <v>30</v>
      </c>
      <c r="AD69" s="232"/>
      <c r="AE69" s="232"/>
      <c r="AF69" s="232"/>
      <c r="AG69" s="232"/>
      <c r="AH69" s="232"/>
      <c r="AI69" s="232"/>
      <c r="AJ69" s="232"/>
      <c r="AK69" s="65">
        <f t="shared" si="13"/>
        <v>30</v>
      </c>
      <c r="AL69" s="60">
        <f t="shared" si="6"/>
        <v>0.95454545454545459</v>
      </c>
      <c r="AM69" s="60">
        <f t="shared" si="7"/>
        <v>0.95238095238095233</v>
      </c>
      <c r="AN69" s="60">
        <f t="shared" si="9"/>
        <v>1</v>
      </c>
      <c r="AO69" s="60">
        <f t="shared" si="10"/>
        <v>0.90909090909090906</v>
      </c>
      <c r="AP69" s="251"/>
    </row>
    <row r="70" spans="1:42" s="7" customFormat="1" ht="13.5" thickBot="1" x14ac:dyDescent="0.25">
      <c r="A70" s="395"/>
      <c r="B70" s="398"/>
      <c r="C70" s="54" t="s">
        <v>23</v>
      </c>
      <c r="D70" s="72" t="s">
        <v>50</v>
      </c>
      <c r="E70" s="270">
        <v>1550</v>
      </c>
      <c r="F70" s="235">
        <v>1400</v>
      </c>
      <c r="G70" s="255"/>
      <c r="H70" s="263">
        <v>660</v>
      </c>
      <c r="I70" s="40">
        <f t="shared" ref="I70:I133" si="25">IF(E70&lt;&gt;"",120,0)</f>
        <v>120</v>
      </c>
      <c r="J70" s="56">
        <f t="shared" ref="J70:J133" si="26">H70-AK70</f>
        <v>610</v>
      </c>
      <c r="K70" s="238"/>
      <c r="L70" s="238"/>
      <c r="M70" s="238"/>
      <c r="N70" s="238"/>
      <c r="O70" s="238"/>
      <c r="P70" s="238"/>
      <c r="Q70" s="238"/>
      <c r="R70" s="238"/>
      <c r="S70" s="238"/>
      <c r="T70" s="238"/>
      <c r="U70" s="238"/>
      <c r="V70" s="238"/>
      <c r="W70" s="238"/>
      <c r="X70" s="238"/>
      <c r="Y70" s="238"/>
      <c r="Z70" s="238"/>
      <c r="AA70" s="238">
        <v>30</v>
      </c>
      <c r="AB70" s="238"/>
      <c r="AC70" s="238">
        <v>20</v>
      </c>
      <c r="AD70" s="238"/>
      <c r="AE70" s="238"/>
      <c r="AF70" s="238"/>
      <c r="AG70" s="238"/>
      <c r="AH70" s="238"/>
      <c r="AI70" s="238"/>
      <c r="AJ70" s="238"/>
      <c r="AK70" s="66">
        <f t="shared" si="13"/>
        <v>50</v>
      </c>
      <c r="AL70" s="67">
        <f t="shared" si="6"/>
        <v>0.9242424242424242</v>
      </c>
      <c r="AM70" s="67">
        <f t="shared" si="7"/>
        <v>0.90322580645161288</v>
      </c>
      <c r="AN70" s="67">
        <f t="shared" si="9"/>
        <v>1</v>
      </c>
      <c r="AO70" s="67">
        <f t="shared" si="10"/>
        <v>0.8347996089931573</v>
      </c>
      <c r="AP70" s="256"/>
    </row>
    <row r="71" spans="1:42" s="7" customFormat="1" ht="13.5" thickBot="1" x14ac:dyDescent="0.25">
      <c r="A71" s="393">
        <f t="shared" ref="A71" si="27">A66+1</f>
        <v>46036</v>
      </c>
      <c r="B71" s="396">
        <f t="shared" si="15"/>
        <v>46036</v>
      </c>
      <c r="C71" s="50" t="s">
        <v>23</v>
      </c>
      <c r="D71" s="68" t="s">
        <v>47</v>
      </c>
      <c r="E71" s="262">
        <v>3500</v>
      </c>
      <c r="F71" s="223">
        <v>2400</v>
      </c>
      <c r="G71" s="249">
        <v>6</v>
      </c>
      <c r="H71" s="263">
        <v>660</v>
      </c>
      <c r="I71" s="51">
        <f t="shared" si="25"/>
        <v>120</v>
      </c>
      <c r="J71" s="52">
        <f t="shared" si="26"/>
        <v>455</v>
      </c>
      <c r="K71" s="226"/>
      <c r="L71" s="226"/>
      <c r="M71" s="226">
        <v>180</v>
      </c>
      <c r="N71" s="226"/>
      <c r="O71" s="226"/>
      <c r="P71" s="226"/>
      <c r="Q71" s="226"/>
      <c r="R71" s="226"/>
      <c r="S71" s="226"/>
      <c r="T71" s="226"/>
      <c r="U71" s="226"/>
      <c r="V71" s="226"/>
      <c r="W71" s="226"/>
      <c r="X71" s="226"/>
      <c r="Y71" s="226"/>
      <c r="Z71" s="226"/>
      <c r="AA71" s="226"/>
      <c r="AB71" s="226"/>
      <c r="AC71" s="226">
        <v>25</v>
      </c>
      <c r="AD71" s="226"/>
      <c r="AE71" s="226"/>
      <c r="AF71" s="226"/>
      <c r="AG71" s="226"/>
      <c r="AH71" s="226"/>
      <c r="AI71" s="226"/>
      <c r="AJ71" s="226"/>
      <c r="AK71" s="64">
        <f t="shared" si="13"/>
        <v>205</v>
      </c>
      <c r="AL71" s="59">
        <f t="shared" si="6"/>
        <v>0.68939393939393945</v>
      </c>
      <c r="AM71" s="59">
        <f t="shared" si="7"/>
        <v>0.68571428571428572</v>
      </c>
      <c r="AN71" s="59">
        <f t="shared" si="9"/>
        <v>0.99750623441396513</v>
      </c>
      <c r="AO71" s="59">
        <f t="shared" si="10"/>
        <v>0.47154840172296536</v>
      </c>
      <c r="AP71" s="243"/>
    </row>
    <row r="72" spans="1:42" s="7" customFormat="1" ht="13.5" thickBot="1" x14ac:dyDescent="0.25">
      <c r="A72" s="394"/>
      <c r="B72" s="397"/>
      <c r="C72" s="46" t="s">
        <v>23</v>
      </c>
      <c r="D72" s="69" t="s">
        <v>48</v>
      </c>
      <c r="E72" s="266">
        <v>3000</v>
      </c>
      <c r="F72" s="229">
        <v>2700</v>
      </c>
      <c r="G72" s="250"/>
      <c r="H72" s="263">
        <v>660</v>
      </c>
      <c r="I72" s="11">
        <f t="shared" si="25"/>
        <v>120</v>
      </c>
      <c r="J72" s="48">
        <f t="shared" si="26"/>
        <v>525</v>
      </c>
      <c r="K72" s="232"/>
      <c r="L72" s="232"/>
      <c r="M72" s="232"/>
      <c r="N72" s="232"/>
      <c r="O72" s="232"/>
      <c r="P72" s="232"/>
      <c r="Q72" s="232"/>
      <c r="R72" s="232"/>
      <c r="S72" s="232"/>
      <c r="T72" s="232"/>
      <c r="U72" s="232"/>
      <c r="V72" s="232"/>
      <c r="W72" s="232"/>
      <c r="X72" s="232"/>
      <c r="Y72" s="232"/>
      <c r="Z72" s="232"/>
      <c r="AA72" s="232">
        <v>120</v>
      </c>
      <c r="AB72" s="232"/>
      <c r="AC72" s="232">
        <v>15</v>
      </c>
      <c r="AD72" s="232"/>
      <c r="AE72" s="232"/>
      <c r="AF72" s="232"/>
      <c r="AG72" s="232"/>
      <c r="AH72" s="232"/>
      <c r="AI72" s="232"/>
      <c r="AJ72" s="232"/>
      <c r="AK72" s="20">
        <f t="shared" si="13"/>
        <v>135</v>
      </c>
      <c r="AL72" s="60">
        <f t="shared" si="6"/>
        <v>0.79545454545454541</v>
      </c>
      <c r="AM72" s="60">
        <f t="shared" si="7"/>
        <v>0.9</v>
      </c>
      <c r="AN72" s="60">
        <f t="shared" si="9"/>
        <v>1</v>
      </c>
      <c r="AO72" s="60">
        <f t="shared" si="10"/>
        <v>0.71590909090909094</v>
      </c>
      <c r="AP72" s="251"/>
    </row>
    <row r="73" spans="1:42" s="7" customFormat="1" ht="13.5" thickBot="1" x14ac:dyDescent="0.25">
      <c r="A73" s="394"/>
      <c r="B73" s="397"/>
      <c r="C73" s="8" t="s">
        <v>23</v>
      </c>
      <c r="D73" s="69" t="s">
        <v>105</v>
      </c>
      <c r="E73" s="266">
        <v>2500</v>
      </c>
      <c r="F73" s="229"/>
      <c r="G73" s="250"/>
      <c r="H73" s="263">
        <v>660</v>
      </c>
      <c r="I73" s="11">
        <f t="shared" si="25"/>
        <v>120</v>
      </c>
      <c r="J73" s="29">
        <f t="shared" si="26"/>
        <v>0</v>
      </c>
      <c r="K73" s="232"/>
      <c r="L73" s="232"/>
      <c r="M73" s="232"/>
      <c r="N73" s="232">
        <v>660</v>
      </c>
      <c r="O73" s="232"/>
      <c r="P73" s="232"/>
      <c r="Q73" s="232"/>
      <c r="R73" s="232"/>
      <c r="S73" s="232"/>
      <c r="T73" s="232"/>
      <c r="U73" s="232"/>
      <c r="V73" s="232"/>
      <c r="W73" s="232"/>
      <c r="X73" s="232"/>
      <c r="Y73" s="232"/>
      <c r="Z73" s="232"/>
      <c r="AA73" s="232"/>
      <c r="AB73" s="232"/>
      <c r="AC73" s="232"/>
      <c r="AD73" s="232"/>
      <c r="AE73" s="232"/>
      <c r="AF73" s="232"/>
      <c r="AG73" s="232"/>
      <c r="AH73" s="232"/>
      <c r="AI73" s="232"/>
      <c r="AJ73" s="232"/>
      <c r="AK73" s="20">
        <f t="shared" si="13"/>
        <v>660</v>
      </c>
      <c r="AL73" s="60">
        <f t="shared" si="6"/>
        <v>0</v>
      </c>
      <c r="AM73" s="60">
        <f t="shared" si="7"/>
        <v>0</v>
      </c>
      <c r="AN73" s="60" t="str">
        <f t="shared" si="9"/>
        <v>0</v>
      </c>
      <c r="AO73" s="60">
        <f t="shared" si="10"/>
        <v>0</v>
      </c>
      <c r="AP73" s="251"/>
    </row>
    <row r="74" spans="1:42" s="7" customFormat="1" ht="13.5" thickBot="1" x14ac:dyDescent="0.25">
      <c r="A74" s="394"/>
      <c r="B74" s="397"/>
      <c r="C74" s="46" t="s">
        <v>23</v>
      </c>
      <c r="D74" s="71" t="s">
        <v>49</v>
      </c>
      <c r="E74" s="268">
        <v>2100</v>
      </c>
      <c r="F74" s="229">
        <v>2000</v>
      </c>
      <c r="G74" s="250"/>
      <c r="H74" s="263">
        <v>660</v>
      </c>
      <c r="I74" s="11">
        <f t="shared" si="25"/>
        <v>120</v>
      </c>
      <c r="J74" s="29">
        <f t="shared" si="26"/>
        <v>630</v>
      </c>
      <c r="K74" s="232"/>
      <c r="L74" s="232"/>
      <c r="M74" s="232"/>
      <c r="N74" s="232"/>
      <c r="O74" s="232"/>
      <c r="P74" s="232"/>
      <c r="Q74" s="232"/>
      <c r="R74" s="232"/>
      <c r="S74" s="232"/>
      <c r="T74" s="232"/>
      <c r="U74" s="232"/>
      <c r="V74" s="232"/>
      <c r="W74" s="232"/>
      <c r="X74" s="232"/>
      <c r="Y74" s="232"/>
      <c r="Z74" s="232"/>
      <c r="AA74" s="232"/>
      <c r="AB74" s="232"/>
      <c r="AC74" s="232">
        <v>30</v>
      </c>
      <c r="AD74" s="232"/>
      <c r="AE74" s="232"/>
      <c r="AF74" s="232"/>
      <c r="AG74" s="232"/>
      <c r="AH74" s="232"/>
      <c r="AI74" s="232"/>
      <c r="AJ74" s="232"/>
      <c r="AK74" s="65">
        <f t="shared" si="13"/>
        <v>30</v>
      </c>
      <c r="AL74" s="60">
        <f t="shared" si="6"/>
        <v>0.95454545454545459</v>
      </c>
      <c r="AM74" s="60">
        <f t="shared" si="7"/>
        <v>0.95238095238095233</v>
      </c>
      <c r="AN74" s="60">
        <f t="shared" si="9"/>
        <v>1</v>
      </c>
      <c r="AO74" s="60">
        <f t="shared" si="10"/>
        <v>0.90909090909090906</v>
      </c>
      <c r="AP74" s="251"/>
    </row>
    <row r="75" spans="1:42" s="7" customFormat="1" ht="13.5" thickBot="1" x14ac:dyDescent="0.25">
      <c r="A75" s="395"/>
      <c r="B75" s="398"/>
      <c r="C75" s="54" t="s">
        <v>23</v>
      </c>
      <c r="D75" s="72" t="s">
        <v>50</v>
      </c>
      <c r="E75" s="270">
        <v>1550</v>
      </c>
      <c r="F75" s="235">
        <v>1500</v>
      </c>
      <c r="G75" s="255"/>
      <c r="H75" s="263">
        <v>660</v>
      </c>
      <c r="I75" s="40">
        <f t="shared" si="25"/>
        <v>120</v>
      </c>
      <c r="J75" s="56">
        <f t="shared" si="26"/>
        <v>640</v>
      </c>
      <c r="K75" s="232"/>
      <c r="L75" s="232"/>
      <c r="M75" s="232"/>
      <c r="N75" s="232"/>
      <c r="O75" s="232"/>
      <c r="P75" s="232"/>
      <c r="Q75" s="232"/>
      <c r="R75" s="232"/>
      <c r="S75" s="232"/>
      <c r="T75" s="232"/>
      <c r="U75" s="232"/>
      <c r="V75" s="232"/>
      <c r="W75" s="232"/>
      <c r="X75" s="232"/>
      <c r="Y75" s="232"/>
      <c r="Z75" s="232"/>
      <c r="AA75" s="232"/>
      <c r="AB75" s="232"/>
      <c r="AC75" s="232">
        <v>20</v>
      </c>
      <c r="AD75" s="232"/>
      <c r="AE75" s="232"/>
      <c r="AF75" s="232"/>
      <c r="AG75" s="232"/>
      <c r="AH75" s="232"/>
      <c r="AI75" s="232"/>
      <c r="AJ75" s="232"/>
      <c r="AK75" s="66">
        <f t="shared" si="13"/>
        <v>20</v>
      </c>
      <c r="AL75" s="67">
        <f t="shared" ref="AL75:AL138" si="28">IFERROR(J75/H75,"0")</f>
        <v>0.96969696969696972</v>
      </c>
      <c r="AM75" s="67">
        <f t="shared" ref="AM75:AM138" si="29">IFERROR(F75/E75,"0")</f>
        <v>0.967741935483871</v>
      </c>
      <c r="AN75" s="67">
        <f t="shared" si="9"/>
        <v>1</v>
      </c>
      <c r="AO75" s="67">
        <f t="shared" si="10"/>
        <v>0.93841642228739008</v>
      </c>
      <c r="AP75" s="256"/>
    </row>
    <row r="76" spans="1:42" s="7" customFormat="1" ht="13.5" thickBot="1" x14ac:dyDescent="0.25">
      <c r="A76" s="393">
        <f t="shared" ref="A76" si="30">A71+1</f>
        <v>46037</v>
      </c>
      <c r="B76" s="396">
        <f t="shared" si="15"/>
        <v>46037</v>
      </c>
      <c r="C76" s="50" t="s">
        <v>23</v>
      </c>
      <c r="D76" s="68" t="s">
        <v>47</v>
      </c>
      <c r="E76" s="262">
        <v>3500</v>
      </c>
      <c r="F76" s="223">
        <v>3366</v>
      </c>
      <c r="G76" s="249">
        <v>8</v>
      </c>
      <c r="H76" s="263">
        <v>660</v>
      </c>
      <c r="I76" s="51">
        <f t="shared" si="25"/>
        <v>120</v>
      </c>
      <c r="J76" s="52">
        <f t="shared" si="26"/>
        <v>635</v>
      </c>
      <c r="K76" s="226"/>
      <c r="L76" s="226"/>
      <c r="M76" s="226"/>
      <c r="N76" s="226"/>
      <c r="O76" s="226"/>
      <c r="P76" s="226"/>
      <c r="Q76" s="226"/>
      <c r="R76" s="226"/>
      <c r="S76" s="226"/>
      <c r="T76" s="226"/>
      <c r="U76" s="226"/>
      <c r="V76" s="226"/>
      <c r="W76" s="226"/>
      <c r="X76" s="226"/>
      <c r="Y76" s="226"/>
      <c r="Z76" s="226"/>
      <c r="AA76" s="226"/>
      <c r="AB76" s="226"/>
      <c r="AC76" s="226">
        <v>25</v>
      </c>
      <c r="AD76" s="226"/>
      <c r="AE76" s="226"/>
      <c r="AF76" s="226"/>
      <c r="AG76" s="226"/>
      <c r="AH76" s="226"/>
      <c r="AI76" s="226"/>
      <c r="AJ76" s="226"/>
      <c r="AK76" s="64">
        <f t="shared" si="13"/>
        <v>25</v>
      </c>
      <c r="AL76" s="59">
        <f t="shared" si="28"/>
        <v>0.96212121212121215</v>
      </c>
      <c r="AM76" s="59">
        <f t="shared" si="29"/>
        <v>0.96171428571428574</v>
      </c>
      <c r="AN76" s="59">
        <f t="shared" si="9"/>
        <v>0.99762892708950801</v>
      </c>
      <c r="AO76" s="59">
        <f t="shared" si="10"/>
        <v>0.92309179439410627</v>
      </c>
      <c r="AP76" s="243"/>
    </row>
    <row r="77" spans="1:42" s="7" customFormat="1" ht="13.5" thickBot="1" x14ac:dyDescent="0.25">
      <c r="A77" s="394"/>
      <c r="B77" s="397"/>
      <c r="C77" s="46" t="s">
        <v>23</v>
      </c>
      <c r="D77" s="69" t="s">
        <v>48</v>
      </c>
      <c r="E77" s="266">
        <v>3000</v>
      </c>
      <c r="F77" s="229">
        <v>2037</v>
      </c>
      <c r="G77" s="250">
        <v>2</v>
      </c>
      <c r="H77" s="263">
        <v>660</v>
      </c>
      <c r="I77" s="11">
        <f t="shared" si="25"/>
        <v>120</v>
      </c>
      <c r="J77" s="48">
        <f t="shared" si="26"/>
        <v>450</v>
      </c>
      <c r="K77" s="232"/>
      <c r="L77" s="232"/>
      <c r="M77" s="232">
        <v>180</v>
      </c>
      <c r="N77" s="232"/>
      <c r="O77" s="232"/>
      <c r="P77" s="232"/>
      <c r="Q77" s="232"/>
      <c r="R77" s="232"/>
      <c r="S77" s="232"/>
      <c r="T77" s="232"/>
      <c r="U77" s="232"/>
      <c r="V77" s="232"/>
      <c r="W77" s="232"/>
      <c r="X77" s="232"/>
      <c r="Y77" s="232"/>
      <c r="Z77" s="232"/>
      <c r="AA77" s="232"/>
      <c r="AB77" s="232"/>
      <c r="AC77" s="232">
        <v>30</v>
      </c>
      <c r="AD77" s="232"/>
      <c r="AE77" s="232"/>
      <c r="AF77" s="232"/>
      <c r="AG77" s="232"/>
      <c r="AH77" s="232"/>
      <c r="AI77" s="232"/>
      <c r="AJ77" s="232"/>
      <c r="AK77" s="20">
        <f t="shared" si="13"/>
        <v>210</v>
      </c>
      <c r="AL77" s="60">
        <f t="shared" si="28"/>
        <v>0.68181818181818177</v>
      </c>
      <c r="AM77" s="60">
        <f t="shared" si="29"/>
        <v>0.67900000000000005</v>
      </c>
      <c r="AN77" s="60">
        <f t="shared" si="9"/>
        <v>0.99901912702305051</v>
      </c>
      <c r="AO77" s="60">
        <f t="shared" si="10"/>
        <v>0.46250044585135314</v>
      </c>
      <c r="AP77" s="251"/>
    </row>
    <row r="78" spans="1:42" s="7" customFormat="1" ht="13.5" thickBot="1" x14ac:dyDescent="0.25">
      <c r="A78" s="394"/>
      <c r="B78" s="397"/>
      <c r="C78" s="8" t="s">
        <v>23</v>
      </c>
      <c r="D78" s="69" t="s">
        <v>51</v>
      </c>
      <c r="E78" s="266">
        <v>2500</v>
      </c>
      <c r="F78" s="229">
        <v>1033</v>
      </c>
      <c r="G78" s="250">
        <v>4</v>
      </c>
      <c r="H78" s="263">
        <v>660</v>
      </c>
      <c r="I78" s="11">
        <f t="shared" si="25"/>
        <v>120</v>
      </c>
      <c r="J78" s="29">
        <f t="shared" si="26"/>
        <v>285</v>
      </c>
      <c r="K78" s="232"/>
      <c r="L78" s="232"/>
      <c r="M78" s="232">
        <v>300</v>
      </c>
      <c r="N78" s="232"/>
      <c r="O78" s="232"/>
      <c r="P78" s="232"/>
      <c r="Q78" s="232"/>
      <c r="R78" s="232"/>
      <c r="S78" s="232">
        <v>25</v>
      </c>
      <c r="T78" s="232"/>
      <c r="U78" s="232"/>
      <c r="V78" s="232"/>
      <c r="W78" s="232"/>
      <c r="X78" s="232"/>
      <c r="Y78" s="232">
        <v>25</v>
      </c>
      <c r="Z78" s="232"/>
      <c r="AA78" s="232"/>
      <c r="AB78" s="232"/>
      <c r="AC78" s="232">
        <v>25</v>
      </c>
      <c r="AD78" s="232"/>
      <c r="AE78" s="232"/>
      <c r="AF78" s="232"/>
      <c r="AG78" s="232"/>
      <c r="AH78" s="232"/>
      <c r="AI78" s="232"/>
      <c r="AJ78" s="232"/>
      <c r="AK78" s="20">
        <f t="shared" si="13"/>
        <v>375</v>
      </c>
      <c r="AL78" s="60">
        <f t="shared" si="28"/>
        <v>0.43181818181818182</v>
      </c>
      <c r="AM78" s="60">
        <f t="shared" si="29"/>
        <v>0.41320000000000001</v>
      </c>
      <c r="AN78" s="60">
        <f t="shared" ref="AN78:AN141" si="31">IFERROR(F78/(F78+G78),"0")</f>
        <v>0.99614271938283505</v>
      </c>
      <c r="AO78" s="60">
        <f t="shared" ref="AO78:AO141" si="32">IFERROR(AN78*AM78*AL78,"0")</f>
        <v>0.17773902866660821</v>
      </c>
      <c r="AP78" s="251"/>
    </row>
    <row r="79" spans="1:42" s="7" customFormat="1" ht="13.5" thickBot="1" x14ac:dyDescent="0.25">
      <c r="A79" s="394"/>
      <c r="B79" s="397"/>
      <c r="C79" s="46" t="s">
        <v>23</v>
      </c>
      <c r="D79" s="71" t="s">
        <v>97</v>
      </c>
      <c r="E79" s="268">
        <v>2100</v>
      </c>
      <c r="F79" s="229">
        <v>2000</v>
      </c>
      <c r="G79" s="250"/>
      <c r="H79" s="263">
        <v>660</v>
      </c>
      <c r="I79" s="11">
        <f t="shared" si="25"/>
        <v>120</v>
      </c>
      <c r="J79" s="48">
        <f t="shared" si="26"/>
        <v>630</v>
      </c>
      <c r="K79" s="232"/>
      <c r="L79" s="232"/>
      <c r="M79" s="232"/>
      <c r="N79" s="232"/>
      <c r="O79" s="232"/>
      <c r="P79" s="232"/>
      <c r="Q79" s="232"/>
      <c r="R79" s="232"/>
      <c r="S79" s="232"/>
      <c r="T79" s="232"/>
      <c r="U79" s="232"/>
      <c r="V79" s="232"/>
      <c r="W79" s="232"/>
      <c r="X79" s="232"/>
      <c r="Y79" s="232"/>
      <c r="Z79" s="232"/>
      <c r="AA79" s="232"/>
      <c r="AB79" s="232"/>
      <c r="AC79" s="232">
        <v>30</v>
      </c>
      <c r="AD79" s="232"/>
      <c r="AE79" s="232"/>
      <c r="AF79" s="232"/>
      <c r="AG79" s="232"/>
      <c r="AH79" s="232"/>
      <c r="AI79" s="232"/>
      <c r="AJ79" s="232"/>
      <c r="AK79" s="65">
        <f t="shared" si="13"/>
        <v>30</v>
      </c>
      <c r="AL79" s="60">
        <f t="shared" si="28"/>
        <v>0.95454545454545459</v>
      </c>
      <c r="AM79" s="60">
        <f t="shared" si="29"/>
        <v>0.95238095238095233</v>
      </c>
      <c r="AN79" s="60">
        <f t="shared" si="31"/>
        <v>1</v>
      </c>
      <c r="AO79" s="60">
        <f t="shared" si="32"/>
        <v>0.90909090909090906</v>
      </c>
      <c r="AP79" s="251"/>
    </row>
    <row r="80" spans="1:42" s="7" customFormat="1" ht="13.5" thickBot="1" x14ac:dyDescent="0.25">
      <c r="A80" s="395"/>
      <c r="B80" s="398"/>
      <c r="C80" s="54" t="s">
        <v>23</v>
      </c>
      <c r="D80" s="72" t="s">
        <v>50</v>
      </c>
      <c r="E80" s="270">
        <v>1550</v>
      </c>
      <c r="F80" s="235">
        <v>1500</v>
      </c>
      <c r="G80" s="255">
        <v>1</v>
      </c>
      <c r="H80" s="263">
        <v>660</v>
      </c>
      <c r="I80" s="40">
        <f t="shared" si="25"/>
        <v>120</v>
      </c>
      <c r="J80" s="56">
        <f t="shared" si="26"/>
        <v>640</v>
      </c>
      <c r="K80" s="238"/>
      <c r="L80" s="238"/>
      <c r="M80" s="238"/>
      <c r="N80" s="238"/>
      <c r="O80" s="238"/>
      <c r="P80" s="238"/>
      <c r="Q80" s="238"/>
      <c r="R80" s="238"/>
      <c r="S80" s="238"/>
      <c r="T80" s="238"/>
      <c r="U80" s="238"/>
      <c r="V80" s="238"/>
      <c r="W80" s="238"/>
      <c r="X80" s="238"/>
      <c r="Y80" s="238"/>
      <c r="Z80" s="238"/>
      <c r="AA80" s="238"/>
      <c r="AB80" s="238"/>
      <c r="AC80" s="238">
        <v>20</v>
      </c>
      <c r="AD80" s="238"/>
      <c r="AE80" s="238"/>
      <c r="AF80" s="238"/>
      <c r="AG80" s="238"/>
      <c r="AH80" s="238"/>
      <c r="AI80" s="238"/>
      <c r="AJ80" s="238"/>
      <c r="AK80" s="66">
        <f t="shared" si="13"/>
        <v>20</v>
      </c>
      <c r="AL80" s="67">
        <f t="shared" si="28"/>
        <v>0.96969696969696972</v>
      </c>
      <c r="AM80" s="67">
        <f t="shared" si="29"/>
        <v>0.967741935483871</v>
      </c>
      <c r="AN80" s="67">
        <f t="shared" si="31"/>
        <v>0.99933377748167884</v>
      </c>
      <c r="AO80" s="67">
        <f t="shared" si="32"/>
        <v>0.9377912281352998</v>
      </c>
      <c r="AP80" s="256"/>
    </row>
    <row r="81" spans="1:42" s="7" customFormat="1" ht="13.5" thickBot="1" x14ac:dyDescent="0.25">
      <c r="A81" s="393">
        <f t="shared" ref="A81" si="33">A76+1</f>
        <v>46038</v>
      </c>
      <c r="B81" s="396">
        <f t="shared" si="15"/>
        <v>46038</v>
      </c>
      <c r="C81" s="50" t="s">
        <v>23</v>
      </c>
      <c r="D81" s="68" t="s">
        <v>47</v>
      </c>
      <c r="E81" s="262">
        <v>3500</v>
      </c>
      <c r="F81" s="223"/>
      <c r="G81" s="249"/>
      <c r="H81" s="263">
        <v>660</v>
      </c>
      <c r="I81" s="51">
        <f t="shared" si="25"/>
        <v>120</v>
      </c>
      <c r="J81" s="52">
        <f t="shared" si="26"/>
        <v>0</v>
      </c>
      <c r="K81" s="226"/>
      <c r="L81" s="226"/>
      <c r="M81" s="226">
        <v>660</v>
      </c>
      <c r="N81" s="226"/>
      <c r="O81" s="226"/>
      <c r="P81" s="226"/>
      <c r="Q81" s="226"/>
      <c r="R81" s="226"/>
      <c r="S81" s="226"/>
      <c r="T81" s="226"/>
      <c r="U81" s="226"/>
      <c r="V81" s="226"/>
      <c r="W81" s="226"/>
      <c r="X81" s="226"/>
      <c r="Y81" s="226"/>
      <c r="Z81" s="226"/>
      <c r="AA81" s="226"/>
      <c r="AB81" s="226"/>
      <c r="AC81" s="226"/>
      <c r="AD81" s="226"/>
      <c r="AE81" s="226"/>
      <c r="AF81" s="226"/>
      <c r="AG81" s="226"/>
      <c r="AH81" s="226"/>
      <c r="AI81" s="226"/>
      <c r="AJ81" s="226"/>
      <c r="AK81" s="64">
        <f t="shared" si="13"/>
        <v>660</v>
      </c>
      <c r="AL81" s="59">
        <f t="shared" si="28"/>
        <v>0</v>
      </c>
      <c r="AM81" s="59">
        <f t="shared" si="29"/>
        <v>0</v>
      </c>
      <c r="AN81" s="59" t="str">
        <f t="shared" si="31"/>
        <v>0</v>
      </c>
      <c r="AO81" s="59">
        <f t="shared" si="32"/>
        <v>0</v>
      </c>
      <c r="AP81" s="243"/>
    </row>
    <row r="82" spans="1:42" s="7" customFormat="1" ht="13.5" thickBot="1" x14ac:dyDescent="0.25">
      <c r="A82" s="394"/>
      <c r="B82" s="397"/>
      <c r="C82" s="46" t="s">
        <v>23</v>
      </c>
      <c r="D82" s="69" t="s">
        <v>48</v>
      </c>
      <c r="E82" s="266">
        <v>3000</v>
      </c>
      <c r="F82" s="229"/>
      <c r="G82" s="250"/>
      <c r="H82" s="263">
        <v>660</v>
      </c>
      <c r="I82" s="11">
        <f t="shared" si="25"/>
        <v>120</v>
      </c>
      <c r="J82" s="48">
        <f t="shared" si="26"/>
        <v>0</v>
      </c>
      <c r="K82" s="232"/>
      <c r="L82" s="232"/>
      <c r="M82" s="232">
        <v>660</v>
      </c>
      <c r="N82" s="232"/>
      <c r="O82" s="232"/>
      <c r="P82" s="232"/>
      <c r="Q82" s="232"/>
      <c r="R82" s="232"/>
      <c r="S82" s="232"/>
      <c r="T82" s="232"/>
      <c r="U82" s="232"/>
      <c r="V82" s="232"/>
      <c r="W82" s="232"/>
      <c r="X82" s="232"/>
      <c r="Y82" s="232"/>
      <c r="Z82" s="232"/>
      <c r="AA82" s="232"/>
      <c r="AB82" s="232"/>
      <c r="AC82" s="232"/>
      <c r="AD82" s="232"/>
      <c r="AE82" s="232"/>
      <c r="AF82" s="232"/>
      <c r="AG82" s="232"/>
      <c r="AH82" s="232"/>
      <c r="AI82" s="232"/>
      <c r="AJ82" s="232"/>
      <c r="AK82" s="20">
        <f t="shared" si="13"/>
        <v>660</v>
      </c>
      <c r="AL82" s="60">
        <f t="shared" si="28"/>
        <v>0</v>
      </c>
      <c r="AM82" s="60">
        <f t="shared" si="29"/>
        <v>0</v>
      </c>
      <c r="AN82" s="60" t="str">
        <f t="shared" si="31"/>
        <v>0</v>
      </c>
      <c r="AO82" s="60">
        <f t="shared" si="32"/>
        <v>0</v>
      </c>
      <c r="AP82" s="251"/>
    </row>
    <row r="83" spans="1:42" s="7" customFormat="1" ht="13.5" thickBot="1" x14ac:dyDescent="0.25">
      <c r="A83" s="394"/>
      <c r="B83" s="397"/>
      <c r="C83" s="8" t="s">
        <v>23</v>
      </c>
      <c r="D83" s="69" t="s">
        <v>51</v>
      </c>
      <c r="E83" s="266">
        <v>2500</v>
      </c>
      <c r="F83" s="229">
        <v>1173</v>
      </c>
      <c r="G83" s="250">
        <v>2</v>
      </c>
      <c r="H83" s="263">
        <v>660</v>
      </c>
      <c r="I83" s="11">
        <f t="shared" si="25"/>
        <v>120</v>
      </c>
      <c r="J83" s="29">
        <f t="shared" si="26"/>
        <v>310</v>
      </c>
      <c r="K83" s="232"/>
      <c r="L83" s="232"/>
      <c r="M83" s="232">
        <v>180</v>
      </c>
      <c r="N83" s="232">
        <v>65</v>
      </c>
      <c r="O83" s="232"/>
      <c r="P83" s="232"/>
      <c r="Q83" s="232"/>
      <c r="R83" s="232"/>
      <c r="S83" s="232">
        <v>30</v>
      </c>
      <c r="T83" s="232"/>
      <c r="U83" s="232"/>
      <c r="V83" s="232"/>
      <c r="W83" s="232"/>
      <c r="X83" s="232"/>
      <c r="Y83" s="232">
        <v>30</v>
      </c>
      <c r="Z83" s="232"/>
      <c r="AA83" s="232"/>
      <c r="AB83" s="232"/>
      <c r="AC83" s="232">
        <v>45</v>
      </c>
      <c r="AD83" s="232"/>
      <c r="AE83" s="232"/>
      <c r="AF83" s="232"/>
      <c r="AG83" s="232"/>
      <c r="AH83" s="232"/>
      <c r="AI83" s="232"/>
      <c r="AJ83" s="232"/>
      <c r="AK83" s="20">
        <f t="shared" ref="AK83:AK147" si="34">SUM(K83:AJ83)</f>
        <v>350</v>
      </c>
      <c r="AL83" s="60">
        <f t="shared" si="28"/>
        <v>0.46969696969696972</v>
      </c>
      <c r="AM83" s="60">
        <f t="shared" si="29"/>
        <v>0.46920000000000001</v>
      </c>
      <c r="AN83" s="60">
        <f t="shared" si="31"/>
        <v>0.99829787234042555</v>
      </c>
      <c r="AO83" s="60">
        <f t="shared" si="32"/>
        <v>0.22000670019342361</v>
      </c>
      <c r="AP83" s="251"/>
    </row>
    <row r="84" spans="1:42" s="7" customFormat="1" ht="13.5" thickBot="1" x14ac:dyDescent="0.25">
      <c r="A84" s="394"/>
      <c r="B84" s="397"/>
      <c r="C84" s="46" t="s">
        <v>23</v>
      </c>
      <c r="D84" s="71" t="s">
        <v>97</v>
      </c>
      <c r="E84" s="268">
        <v>2100</v>
      </c>
      <c r="F84" s="229">
        <v>1500</v>
      </c>
      <c r="G84" s="250">
        <v>1</v>
      </c>
      <c r="H84" s="263">
        <v>660</v>
      </c>
      <c r="I84" s="11">
        <f t="shared" si="25"/>
        <v>120</v>
      </c>
      <c r="J84" s="48">
        <f t="shared" si="26"/>
        <v>465</v>
      </c>
      <c r="K84" s="232"/>
      <c r="L84" s="232"/>
      <c r="M84" s="232">
        <v>180</v>
      </c>
      <c r="N84" s="232"/>
      <c r="O84" s="232"/>
      <c r="P84" s="232"/>
      <c r="Q84" s="232"/>
      <c r="R84" s="232"/>
      <c r="S84" s="232"/>
      <c r="T84" s="232"/>
      <c r="U84" s="232"/>
      <c r="V84" s="232"/>
      <c r="W84" s="232"/>
      <c r="X84" s="232"/>
      <c r="Y84" s="232"/>
      <c r="Z84" s="232"/>
      <c r="AA84" s="232"/>
      <c r="AB84" s="232"/>
      <c r="AC84" s="232">
        <v>15</v>
      </c>
      <c r="AD84" s="232"/>
      <c r="AE84" s="232"/>
      <c r="AF84" s="232"/>
      <c r="AG84" s="232"/>
      <c r="AH84" s="232"/>
      <c r="AI84" s="232"/>
      <c r="AJ84" s="232"/>
      <c r="AK84" s="65">
        <f t="shared" si="34"/>
        <v>195</v>
      </c>
      <c r="AL84" s="60">
        <f t="shared" si="28"/>
        <v>0.70454545454545459</v>
      </c>
      <c r="AM84" s="60">
        <f t="shared" si="29"/>
        <v>0.7142857142857143</v>
      </c>
      <c r="AN84" s="60">
        <f t="shared" si="31"/>
        <v>0.99933377748167884</v>
      </c>
      <c r="AO84" s="60">
        <f t="shared" si="32"/>
        <v>0.50291147892746824</v>
      </c>
      <c r="AP84" s="251"/>
    </row>
    <row r="85" spans="1:42" s="7" customFormat="1" ht="13.5" thickBot="1" x14ac:dyDescent="0.25">
      <c r="A85" s="395"/>
      <c r="B85" s="398"/>
      <c r="C85" s="54" t="s">
        <v>23</v>
      </c>
      <c r="D85" s="72" t="s">
        <v>50</v>
      </c>
      <c r="E85" s="270">
        <v>1550</v>
      </c>
      <c r="F85" s="235">
        <v>1000</v>
      </c>
      <c r="G85" s="255">
        <v>2</v>
      </c>
      <c r="H85" s="263">
        <v>660</v>
      </c>
      <c r="I85" s="40">
        <f t="shared" si="25"/>
        <v>120</v>
      </c>
      <c r="J85" s="56">
        <f t="shared" si="26"/>
        <v>425</v>
      </c>
      <c r="K85" s="238"/>
      <c r="L85" s="238"/>
      <c r="M85" s="238">
        <v>180</v>
      </c>
      <c r="N85" s="238"/>
      <c r="O85" s="238"/>
      <c r="P85" s="238"/>
      <c r="Q85" s="238"/>
      <c r="R85" s="238"/>
      <c r="S85" s="238"/>
      <c r="T85" s="238"/>
      <c r="U85" s="238"/>
      <c r="V85" s="238"/>
      <c r="W85" s="238"/>
      <c r="X85" s="238"/>
      <c r="Y85" s="238"/>
      <c r="Z85" s="238"/>
      <c r="AA85" s="238">
        <v>30</v>
      </c>
      <c r="AB85" s="238"/>
      <c r="AC85" s="238">
        <v>25</v>
      </c>
      <c r="AD85" s="238"/>
      <c r="AE85" s="238"/>
      <c r="AF85" s="238"/>
      <c r="AG85" s="238"/>
      <c r="AH85" s="238"/>
      <c r="AI85" s="238"/>
      <c r="AJ85" s="238"/>
      <c r="AK85" s="66">
        <f t="shared" si="34"/>
        <v>235</v>
      </c>
      <c r="AL85" s="67">
        <f t="shared" si="28"/>
        <v>0.64393939393939392</v>
      </c>
      <c r="AM85" s="67">
        <f t="shared" si="29"/>
        <v>0.64516129032258063</v>
      </c>
      <c r="AN85" s="67">
        <f t="shared" si="31"/>
        <v>0.99800399201596801</v>
      </c>
      <c r="AO85" s="67">
        <f t="shared" si="32"/>
        <v>0.41461553920506977</v>
      </c>
      <c r="AP85" s="256"/>
    </row>
    <row r="86" spans="1:42" s="7" customFormat="1" ht="13.5" thickBot="1" x14ac:dyDescent="0.25">
      <c r="A86" s="393">
        <f t="shared" ref="A86" si="35">A81+1</f>
        <v>46039</v>
      </c>
      <c r="B86" s="396">
        <f t="shared" ref="B86:B147" si="36">A86</f>
        <v>46039</v>
      </c>
      <c r="C86" s="50" t="s">
        <v>23</v>
      </c>
      <c r="D86" s="68" t="s">
        <v>47</v>
      </c>
      <c r="E86" s="262">
        <v>3500</v>
      </c>
      <c r="F86" s="223">
        <v>2160</v>
      </c>
      <c r="G86" s="249">
        <v>8</v>
      </c>
      <c r="H86" s="263">
        <v>660</v>
      </c>
      <c r="I86" s="51">
        <f t="shared" si="25"/>
        <v>120</v>
      </c>
      <c r="J86" s="52">
        <f t="shared" si="26"/>
        <v>410</v>
      </c>
      <c r="K86" s="226"/>
      <c r="L86" s="226"/>
      <c r="M86" s="226">
        <v>180</v>
      </c>
      <c r="N86" s="226"/>
      <c r="O86" s="226"/>
      <c r="P86" s="226"/>
      <c r="Q86" s="226"/>
      <c r="R86" s="226"/>
      <c r="S86" s="226">
        <v>20</v>
      </c>
      <c r="T86" s="226"/>
      <c r="U86" s="226"/>
      <c r="V86" s="226"/>
      <c r="W86" s="226"/>
      <c r="X86" s="226"/>
      <c r="Y86" s="226">
        <v>20</v>
      </c>
      <c r="Z86" s="226"/>
      <c r="AA86" s="226">
        <v>30</v>
      </c>
      <c r="AB86" s="226"/>
      <c r="AC86" s="226"/>
      <c r="AD86" s="226"/>
      <c r="AE86" s="226"/>
      <c r="AF86" s="226"/>
      <c r="AG86" s="226"/>
      <c r="AH86" s="226"/>
      <c r="AI86" s="226"/>
      <c r="AJ86" s="226"/>
      <c r="AK86" s="64">
        <f t="shared" si="34"/>
        <v>250</v>
      </c>
      <c r="AL86" s="59">
        <f t="shared" si="28"/>
        <v>0.62121212121212122</v>
      </c>
      <c r="AM86" s="59">
        <f t="shared" si="29"/>
        <v>0.6171428571428571</v>
      </c>
      <c r="AN86" s="59">
        <f t="shared" si="31"/>
        <v>0.99630996309963105</v>
      </c>
      <c r="AO86" s="59">
        <f t="shared" si="32"/>
        <v>0.38196194948962475</v>
      </c>
      <c r="AP86" s="243"/>
    </row>
    <row r="87" spans="1:42" s="7" customFormat="1" ht="13.5" thickBot="1" x14ac:dyDescent="0.25">
      <c r="A87" s="394"/>
      <c r="B87" s="397"/>
      <c r="C87" s="46" t="s">
        <v>23</v>
      </c>
      <c r="D87" s="69" t="s">
        <v>48</v>
      </c>
      <c r="E87" s="266">
        <v>3000</v>
      </c>
      <c r="F87" s="229"/>
      <c r="G87" s="250"/>
      <c r="H87" s="263">
        <v>660</v>
      </c>
      <c r="I87" s="11">
        <f t="shared" si="25"/>
        <v>120</v>
      </c>
      <c r="J87" s="48">
        <f t="shared" si="26"/>
        <v>0</v>
      </c>
      <c r="K87" s="232"/>
      <c r="L87" s="232"/>
      <c r="M87" s="232">
        <v>660</v>
      </c>
      <c r="N87" s="232"/>
      <c r="O87" s="232"/>
      <c r="P87" s="232"/>
      <c r="Q87" s="232"/>
      <c r="R87" s="232"/>
      <c r="S87" s="232"/>
      <c r="T87" s="232"/>
      <c r="U87" s="232"/>
      <c r="V87" s="232"/>
      <c r="W87" s="232"/>
      <c r="X87" s="232"/>
      <c r="Y87" s="232"/>
      <c r="Z87" s="232"/>
      <c r="AA87" s="232"/>
      <c r="AB87" s="232"/>
      <c r="AC87" s="232"/>
      <c r="AD87" s="232"/>
      <c r="AE87" s="232"/>
      <c r="AF87" s="232"/>
      <c r="AG87" s="232"/>
      <c r="AH87" s="232"/>
      <c r="AI87" s="232"/>
      <c r="AJ87" s="232"/>
      <c r="AK87" s="20">
        <f t="shared" si="34"/>
        <v>660</v>
      </c>
      <c r="AL87" s="60">
        <f t="shared" si="28"/>
        <v>0</v>
      </c>
      <c r="AM87" s="60">
        <f t="shared" si="29"/>
        <v>0</v>
      </c>
      <c r="AN87" s="60" t="str">
        <f>IFERROR(F87/(F87+G87),"0")</f>
        <v>0</v>
      </c>
      <c r="AO87" s="60">
        <f t="shared" si="32"/>
        <v>0</v>
      </c>
      <c r="AP87" s="251"/>
    </row>
    <row r="88" spans="1:42" s="7" customFormat="1" ht="13.5" thickBot="1" x14ac:dyDescent="0.25">
      <c r="A88" s="394"/>
      <c r="B88" s="397"/>
      <c r="C88" s="8" t="s">
        <v>23</v>
      </c>
      <c r="D88" s="69" t="s">
        <v>51</v>
      </c>
      <c r="E88" s="266">
        <v>2500</v>
      </c>
      <c r="F88" s="229">
        <v>1324</v>
      </c>
      <c r="G88" s="250">
        <v>6</v>
      </c>
      <c r="H88" s="263">
        <v>660</v>
      </c>
      <c r="I88" s="11">
        <f t="shared" si="25"/>
        <v>120</v>
      </c>
      <c r="J88" s="29">
        <f t="shared" si="26"/>
        <v>350</v>
      </c>
      <c r="K88" s="232"/>
      <c r="L88" s="232"/>
      <c r="M88" s="232">
        <v>180</v>
      </c>
      <c r="N88" s="232"/>
      <c r="O88" s="232"/>
      <c r="P88" s="232"/>
      <c r="Q88" s="232"/>
      <c r="R88" s="232"/>
      <c r="S88" s="232">
        <v>50</v>
      </c>
      <c r="T88" s="232"/>
      <c r="U88" s="232"/>
      <c r="V88" s="232"/>
      <c r="W88" s="232"/>
      <c r="X88" s="232"/>
      <c r="Y88" s="232">
        <v>50</v>
      </c>
      <c r="Z88" s="232"/>
      <c r="AA88" s="232"/>
      <c r="AB88" s="232"/>
      <c r="AC88" s="232">
        <v>30</v>
      </c>
      <c r="AD88" s="232"/>
      <c r="AE88" s="232"/>
      <c r="AF88" s="232"/>
      <c r="AG88" s="232"/>
      <c r="AH88" s="232"/>
      <c r="AI88" s="232"/>
      <c r="AJ88" s="232"/>
      <c r="AK88" s="20">
        <f t="shared" si="34"/>
        <v>310</v>
      </c>
      <c r="AL88" s="60">
        <f t="shared" si="28"/>
        <v>0.53030303030303028</v>
      </c>
      <c r="AM88" s="60">
        <f t="shared" si="29"/>
        <v>0.52959999999999996</v>
      </c>
      <c r="AN88" s="60">
        <f>IFERROR(F88/(F88+G88),"0")</f>
        <v>0.99548872180451131</v>
      </c>
      <c r="AO88" s="60">
        <f t="shared" si="32"/>
        <v>0.27958149920255182</v>
      </c>
      <c r="AP88" s="251"/>
    </row>
    <row r="89" spans="1:42" s="7" customFormat="1" ht="13.5" thickBot="1" x14ac:dyDescent="0.25">
      <c r="A89" s="394"/>
      <c r="B89" s="397"/>
      <c r="C89" s="46" t="s">
        <v>23</v>
      </c>
      <c r="D89" s="71" t="s">
        <v>97</v>
      </c>
      <c r="E89" s="268">
        <v>2100</v>
      </c>
      <c r="F89" s="229">
        <v>2000</v>
      </c>
      <c r="G89" s="250"/>
      <c r="H89" s="263">
        <v>660</v>
      </c>
      <c r="I89" s="11">
        <f t="shared" si="25"/>
        <v>120</v>
      </c>
      <c r="J89" s="48">
        <f t="shared" si="26"/>
        <v>630</v>
      </c>
      <c r="K89" s="232"/>
      <c r="L89" s="232"/>
      <c r="M89" s="232"/>
      <c r="N89" s="232"/>
      <c r="O89" s="232"/>
      <c r="P89" s="232"/>
      <c r="Q89" s="232"/>
      <c r="R89" s="232"/>
      <c r="S89" s="232"/>
      <c r="T89" s="232"/>
      <c r="U89" s="232"/>
      <c r="V89" s="232"/>
      <c r="W89" s="232"/>
      <c r="X89" s="232"/>
      <c r="Y89" s="232"/>
      <c r="Z89" s="232"/>
      <c r="AA89" s="232"/>
      <c r="AB89" s="232"/>
      <c r="AC89" s="232">
        <v>30</v>
      </c>
      <c r="AD89" s="232"/>
      <c r="AE89" s="232"/>
      <c r="AF89" s="232"/>
      <c r="AG89" s="232"/>
      <c r="AH89" s="232"/>
      <c r="AI89" s="232"/>
      <c r="AJ89" s="232"/>
      <c r="AK89" s="65">
        <f t="shared" si="34"/>
        <v>30</v>
      </c>
      <c r="AL89" s="60">
        <f t="shared" si="28"/>
        <v>0.95454545454545459</v>
      </c>
      <c r="AM89" s="60">
        <f t="shared" si="29"/>
        <v>0.95238095238095233</v>
      </c>
      <c r="AN89" s="60">
        <f t="shared" si="31"/>
        <v>1</v>
      </c>
      <c r="AO89" s="60">
        <f t="shared" si="32"/>
        <v>0.90909090909090906</v>
      </c>
      <c r="AP89" s="251"/>
    </row>
    <row r="90" spans="1:42" s="7" customFormat="1" ht="13.5" thickBot="1" x14ac:dyDescent="0.25">
      <c r="A90" s="395"/>
      <c r="B90" s="398"/>
      <c r="C90" s="54" t="s">
        <v>23</v>
      </c>
      <c r="D90" s="72" t="s">
        <v>50</v>
      </c>
      <c r="E90" s="270">
        <v>1550</v>
      </c>
      <c r="F90" s="235">
        <v>1500</v>
      </c>
      <c r="G90" s="255"/>
      <c r="H90" s="263">
        <v>660</v>
      </c>
      <c r="I90" s="40">
        <f t="shared" si="25"/>
        <v>120</v>
      </c>
      <c r="J90" s="56">
        <f t="shared" si="26"/>
        <v>640</v>
      </c>
      <c r="K90" s="238"/>
      <c r="L90" s="238"/>
      <c r="M90" s="238"/>
      <c r="N90" s="238"/>
      <c r="O90" s="238"/>
      <c r="P90" s="238"/>
      <c r="Q90" s="238"/>
      <c r="R90" s="238"/>
      <c r="S90" s="238"/>
      <c r="T90" s="238"/>
      <c r="U90" s="238"/>
      <c r="V90" s="238"/>
      <c r="W90" s="238"/>
      <c r="X90" s="238"/>
      <c r="Y90" s="238"/>
      <c r="Z90" s="238"/>
      <c r="AA90" s="238"/>
      <c r="AB90" s="238"/>
      <c r="AC90" s="238">
        <v>20</v>
      </c>
      <c r="AD90" s="238"/>
      <c r="AE90" s="238"/>
      <c r="AF90" s="238"/>
      <c r="AG90" s="238"/>
      <c r="AH90" s="238"/>
      <c r="AI90" s="238"/>
      <c r="AJ90" s="238"/>
      <c r="AK90" s="66">
        <f t="shared" si="34"/>
        <v>20</v>
      </c>
      <c r="AL90" s="67">
        <f t="shared" si="28"/>
        <v>0.96969696969696972</v>
      </c>
      <c r="AM90" s="67">
        <f t="shared" si="29"/>
        <v>0.967741935483871</v>
      </c>
      <c r="AN90" s="67">
        <f t="shared" si="31"/>
        <v>1</v>
      </c>
      <c r="AO90" s="67">
        <f t="shared" si="32"/>
        <v>0.93841642228739008</v>
      </c>
      <c r="AP90" s="256"/>
    </row>
    <row r="91" spans="1:42" s="7" customFormat="1" ht="13.5" thickBot="1" x14ac:dyDescent="0.25">
      <c r="A91" s="393">
        <f t="shared" ref="A91" si="37">A86+1</f>
        <v>46040</v>
      </c>
      <c r="B91" s="396">
        <f t="shared" si="36"/>
        <v>46040</v>
      </c>
      <c r="C91" s="50" t="s">
        <v>23</v>
      </c>
      <c r="D91" s="68" t="s">
        <v>47</v>
      </c>
      <c r="E91" s="262">
        <v>3500</v>
      </c>
      <c r="F91" s="223">
        <v>1873</v>
      </c>
      <c r="G91" s="249">
        <v>6</v>
      </c>
      <c r="H91" s="263">
        <v>660</v>
      </c>
      <c r="I91" s="51">
        <f t="shared" si="25"/>
        <v>120</v>
      </c>
      <c r="J91" s="52">
        <f t="shared" si="26"/>
        <v>360</v>
      </c>
      <c r="K91" s="226"/>
      <c r="L91" s="226"/>
      <c r="M91" s="226">
        <v>240</v>
      </c>
      <c r="N91" s="226"/>
      <c r="O91" s="226"/>
      <c r="P91" s="226"/>
      <c r="Q91" s="226"/>
      <c r="R91" s="226"/>
      <c r="S91" s="226">
        <v>20</v>
      </c>
      <c r="T91" s="226"/>
      <c r="U91" s="226"/>
      <c r="V91" s="226"/>
      <c r="W91" s="226"/>
      <c r="X91" s="226"/>
      <c r="Y91" s="226">
        <v>10</v>
      </c>
      <c r="Z91" s="226"/>
      <c r="AA91" s="226"/>
      <c r="AB91" s="226"/>
      <c r="AC91" s="226">
        <v>30</v>
      </c>
      <c r="AD91" s="226"/>
      <c r="AE91" s="226"/>
      <c r="AF91" s="226"/>
      <c r="AG91" s="226"/>
      <c r="AH91" s="226"/>
      <c r="AI91" s="226"/>
      <c r="AJ91" s="226"/>
      <c r="AK91" s="64">
        <f t="shared" si="34"/>
        <v>300</v>
      </c>
      <c r="AL91" s="59">
        <f t="shared" si="28"/>
        <v>0.54545454545454541</v>
      </c>
      <c r="AM91" s="59">
        <f t="shared" si="29"/>
        <v>0.53514285714285714</v>
      </c>
      <c r="AN91" s="59">
        <f t="shared" si="31"/>
        <v>0.99680681213411393</v>
      </c>
      <c r="AO91" s="59">
        <f t="shared" si="32"/>
        <v>0.29096402479904343</v>
      </c>
      <c r="AP91" s="243"/>
    </row>
    <row r="92" spans="1:42" s="7" customFormat="1" ht="13.5" thickBot="1" x14ac:dyDescent="0.25">
      <c r="A92" s="394"/>
      <c r="B92" s="397"/>
      <c r="C92" s="46" t="s">
        <v>23</v>
      </c>
      <c r="D92" s="69" t="s">
        <v>48</v>
      </c>
      <c r="E92" s="266">
        <v>3000</v>
      </c>
      <c r="F92" s="229">
        <v>800</v>
      </c>
      <c r="G92" s="250"/>
      <c r="H92" s="263">
        <v>660</v>
      </c>
      <c r="I92" s="11">
        <f t="shared" si="25"/>
        <v>120</v>
      </c>
      <c r="J92" s="48">
        <f t="shared" si="26"/>
        <v>180</v>
      </c>
      <c r="K92" s="232"/>
      <c r="L92" s="232"/>
      <c r="M92" s="232">
        <v>450</v>
      </c>
      <c r="N92" s="232"/>
      <c r="O92" s="232"/>
      <c r="P92" s="232"/>
      <c r="Q92" s="232"/>
      <c r="R92" s="232"/>
      <c r="S92" s="232"/>
      <c r="T92" s="232"/>
      <c r="U92" s="232"/>
      <c r="V92" s="232"/>
      <c r="W92" s="232"/>
      <c r="X92" s="232"/>
      <c r="Y92" s="232"/>
      <c r="Z92" s="232"/>
      <c r="AA92" s="232"/>
      <c r="AB92" s="232"/>
      <c r="AC92" s="232">
        <v>30</v>
      </c>
      <c r="AD92" s="232"/>
      <c r="AE92" s="232"/>
      <c r="AF92" s="232"/>
      <c r="AG92" s="232"/>
      <c r="AH92" s="232"/>
      <c r="AI92" s="232"/>
      <c r="AJ92" s="232"/>
      <c r="AK92" s="20">
        <f t="shared" si="34"/>
        <v>480</v>
      </c>
      <c r="AL92" s="60">
        <f t="shared" si="28"/>
        <v>0.27272727272727271</v>
      </c>
      <c r="AM92" s="60">
        <f t="shared" si="29"/>
        <v>0.26666666666666666</v>
      </c>
      <c r="AN92" s="60">
        <f t="shared" si="31"/>
        <v>1</v>
      </c>
      <c r="AO92" s="60">
        <f t="shared" si="32"/>
        <v>7.2727272727272724E-2</v>
      </c>
      <c r="AP92" s="251"/>
    </row>
    <row r="93" spans="1:42" s="7" customFormat="1" ht="13.5" thickBot="1" x14ac:dyDescent="0.25">
      <c r="A93" s="394"/>
      <c r="B93" s="397"/>
      <c r="C93" s="8" t="s">
        <v>23</v>
      </c>
      <c r="D93" s="69" t="s">
        <v>51</v>
      </c>
      <c r="E93" s="266">
        <v>2500</v>
      </c>
      <c r="F93" s="229"/>
      <c r="G93" s="250"/>
      <c r="H93" s="263">
        <v>660</v>
      </c>
      <c r="I93" s="11">
        <f t="shared" si="25"/>
        <v>120</v>
      </c>
      <c r="J93" s="29">
        <f t="shared" si="26"/>
        <v>-30</v>
      </c>
      <c r="K93" s="232"/>
      <c r="L93" s="232"/>
      <c r="M93" s="232"/>
      <c r="N93" s="232">
        <v>660</v>
      </c>
      <c r="O93" s="232"/>
      <c r="P93" s="232"/>
      <c r="Q93" s="232"/>
      <c r="R93" s="232"/>
      <c r="S93" s="232"/>
      <c r="T93" s="232"/>
      <c r="U93" s="232"/>
      <c r="V93" s="232"/>
      <c r="W93" s="232"/>
      <c r="X93" s="232"/>
      <c r="Y93" s="232"/>
      <c r="Z93" s="232"/>
      <c r="AA93" s="232"/>
      <c r="AB93" s="232"/>
      <c r="AC93" s="232">
        <v>30</v>
      </c>
      <c r="AD93" s="232"/>
      <c r="AE93" s="232"/>
      <c r="AF93" s="232"/>
      <c r="AG93" s="232"/>
      <c r="AH93" s="232"/>
      <c r="AI93" s="232"/>
      <c r="AJ93" s="232"/>
      <c r="AK93" s="20">
        <f t="shared" si="34"/>
        <v>690</v>
      </c>
      <c r="AL93" s="60">
        <f t="shared" si="28"/>
        <v>-4.5454545454545456E-2</v>
      </c>
      <c r="AM93" s="60">
        <f t="shared" si="29"/>
        <v>0</v>
      </c>
      <c r="AN93" s="60" t="str">
        <f t="shared" si="31"/>
        <v>0</v>
      </c>
      <c r="AO93" s="60">
        <f t="shared" si="32"/>
        <v>0</v>
      </c>
      <c r="AP93" s="251"/>
    </row>
    <row r="94" spans="1:42" s="7" customFormat="1" ht="13.5" thickBot="1" x14ac:dyDescent="0.25">
      <c r="A94" s="394"/>
      <c r="B94" s="397"/>
      <c r="C94" s="46" t="s">
        <v>23</v>
      </c>
      <c r="D94" s="71" t="s">
        <v>97</v>
      </c>
      <c r="E94" s="268">
        <v>2100</v>
      </c>
      <c r="F94" s="229">
        <v>2000</v>
      </c>
      <c r="G94" s="250"/>
      <c r="H94" s="263">
        <v>660</v>
      </c>
      <c r="I94" s="11">
        <f t="shared" si="25"/>
        <v>120</v>
      </c>
      <c r="J94" s="48">
        <f t="shared" si="26"/>
        <v>640</v>
      </c>
      <c r="K94" s="232"/>
      <c r="L94" s="232"/>
      <c r="M94" s="232"/>
      <c r="N94" s="232"/>
      <c r="O94" s="232"/>
      <c r="P94" s="232"/>
      <c r="Q94" s="232"/>
      <c r="R94" s="232"/>
      <c r="S94" s="232"/>
      <c r="T94" s="232"/>
      <c r="U94" s="232"/>
      <c r="V94" s="232"/>
      <c r="W94" s="232"/>
      <c r="X94" s="232"/>
      <c r="Y94" s="232"/>
      <c r="Z94" s="232"/>
      <c r="AA94" s="232"/>
      <c r="AB94" s="232"/>
      <c r="AC94" s="232">
        <v>20</v>
      </c>
      <c r="AD94" s="232"/>
      <c r="AE94" s="232"/>
      <c r="AF94" s="232"/>
      <c r="AG94" s="232"/>
      <c r="AH94" s="232"/>
      <c r="AI94" s="232"/>
      <c r="AJ94" s="232"/>
      <c r="AK94" s="65">
        <f t="shared" si="34"/>
        <v>20</v>
      </c>
      <c r="AL94" s="60">
        <f t="shared" si="28"/>
        <v>0.96969696969696972</v>
      </c>
      <c r="AM94" s="60">
        <f t="shared" si="29"/>
        <v>0.95238095238095233</v>
      </c>
      <c r="AN94" s="60">
        <f t="shared" si="31"/>
        <v>1</v>
      </c>
      <c r="AO94" s="60">
        <f t="shared" si="32"/>
        <v>0.92352092352092352</v>
      </c>
      <c r="AP94" s="251"/>
    </row>
    <row r="95" spans="1:42" s="7" customFormat="1" ht="13.5" thickBot="1" x14ac:dyDescent="0.25">
      <c r="A95" s="395"/>
      <c r="B95" s="398"/>
      <c r="C95" s="54" t="s">
        <v>23</v>
      </c>
      <c r="D95" s="72" t="s">
        <v>50</v>
      </c>
      <c r="E95" s="270">
        <v>1550</v>
      </c>
      <c r="F95" s="235">
        <v>1500</v>
      </c>
      <c r="G95" s="255"/>
      <c r="H95" s="263">
        <v>660</v>
      </c>
      <c r="I95" s="40">
        <f t="shared" si="25"/>
        <v>120</v>
      </c>
      <c r="J95" s="56">
        <f t="shared" si="26"/>
        <v>640</v>
      </c>
      <c r="K95" s="238"/>
      <c r="L95" s="238"/>
      <c r="M95" s="238"/>
      <c r="N95" s="238"/>
      <c r="O95" s="238"/>
      <c r="P95" s="238"/>
      <c r="Q95" s="238"/>
      <c r="R95" s="238"/>
      <c r="S95" s="238"/>
      <c r="T95" s="238"/>
      <c r="U95" s="238"/>
      <c r="V95" s="238"/>
      <c r="W95" s="238"/>
      <c r="X95" s="238"/>
      <c r="Y95" s="238"/>
      <c r="Z95" s="238"/>
      <c r="AA95" s="238"/>
      <c r="AB95" s="238"/>
      <c r="AC95" s="238">
        <v>20</v>
      </c>
      <c r="AD95" s="238"/>
      <c r="AE95" s="238"/>
      <c r="AF95" s="238"/>
      <c r="AG95" s="238"/>
      <c r="AH95" s="238"/>
      <c r="AI95" s="238"/>
      <c r="AJ95" s="238"/>
      <c r="AK95" s="66">
        <f t="shared" si="34"/>
        <v>20</v>
      </c>
      <c r="AL95" s="67">
        <f t="shared" si="28"/>
        <v>0.96969696969696972</v>
      </c>
      <c r="AM95" s="67">
        <f t="shared" si="29"/>
        <v>0.967741935483871</v>
      </c>
      <c r="AN95" s="67">
        <f t="shared" si="31"/>
        <v>1</v>
      </c>
      <c r="AO95" s="67">
        <f t="shared" si="32"/>
        <v>0.93841642228739008</v>
      </c>
      <c r="AP95" s="256"/>
    </row>
    <row r="96" spans="1:42" s="7" customFormat="1" ht="13.5" thickBot="1" x14ac:dyDescent="0.25">
      <c r="A96" s="393">
        <f t="shared" ref="A96" si="38">A91+1</f>
        <v>46041</v>
      </c>
      <c r="B96" s="396">
        <f t="shared" si="36"/>
        <v>46041</v>
      </c>
      <c r="C96" s="50" t="s">
        <v>23</v>
      </c>
      <c r="D96" s="68" t="s">
        <v>47</v>
      </c>
      <c r="E96" s="262">
        <v>3500</v>
      </c>
      <c r="F96" s="223">
        <v>3000</v>
      </c>
      <c r="G96" s="249"/>
      <c r="H96" s="263">
        <v>660</v>
      </c>
      <c r="I96" s="51">
        <f t="shared" si="25"/>
        <v>120</v>
      </c>
      <c r="J96" s="52">
        <f t="shared" si="26"/>
        <v>565</v>
      </c>
      <c r="K96" s="226"/>
      <c r="L96" s="226"/>
      <c r="M96" s="232"/>
      <c r="N96" s="226"/>
      <c r="O96" s="226"/>
      <c r="P96" s="226"/>
      <c r="Q96" s="226"/>
      <c r="R96" s="226"/>
      <c r="S96" s="226">
        <v>45</v>
      </c>
      <c r="T96" s="226"/>
      <c r="U96" s="226"/>
      <c r="V96" s="226"/>
      <c r="W96" s="226"/>
      <c r="X96" s="226"/>
      <c r="Y96" s="226">
        <v>20</v>
      </c>
      <c r="Z96" s="226"/>
      <c r="AA96" s="226"/>
      <c r="AB96" s="226"/>
      <c r="AC96" s="226">
        <v>30</v>
      </c>
      <c r="AD96" s="226"/>
      <c r="AE96" s="226"/>
      <c r="AF96" s="226"/>
      <c r="AG96" s="226"/>
      <c r="AH96" s="226"/>
      <c r="AI96" s="226"/>
      <c r="AJ96" s="226"/>
      <c r="AK96" s="64">
        <f t="shared" si="34"/>
        <v>95</v>
      </c>
      <c r="AL96" s="59">
        <f t="shared" si="28"/>
        <v>0.85606060606060608</v>
      </c>
      <c r="AM96" s="59">
        <f t="shared" si="29"/>
        <v>0.8571428571428571</v>
      </c>
      <c r="AN96" s="59">
        <f t="shared" si="31"/>
        <v>1</v>
      </c>
      <c r="AO96" s="59">
        <f t="shared" si="32"/>
        <v>0.73376623376623373</v>
      </c>
      <c r="AP96" s="243"/>
    </row>
    <row r="97" spans="1:42" s="7" customFormat="1" ht="13.5" thickBot="1" x14ac:dyDescent="0.25">
      <c r="A97" s="394"/>
      <c r="B97" s="397"/>
      <c r="C97" s="46" t="s">
        <v>23</v>
      </c>
      <c r="D97" s="69" t="s">
        <v>48</v>
      </c>
      <c r="E97" s="266">
        <v>3000</v>
      </c>
      <c r="F97" s="229"/>
      <c r="G97" s="250"/>
      <c r="H97" s="263">
        <v>660</v>
      </c>
      <c r="I97" s="11">
        <f t="shared" si="25"/>
        <v>120</v>
      </c>
      <c r="J97" s="48">
        <f t="shared" si="26"/>
        <v>0</v>
      </c>
      <c r="K97" s="232"/>
      <c r="L97" s="232"/>
      <c r="M97" s="232">
        <v>660</v>
      </c>
      <c r="N97" s="232"/>
      <c r="O97" s="232"/>
      <c r="P97" s="232"/>
      <c r="Q97" s="232"/>
      <c r="R97" s="232"/>
      <c r="S97" s="232"/>
      <c r="T97" s="232"/>
      <c r="U97" s="232"/>
      <c r="V97" s="232"/>
      <c r="W97" s="232"/>
      <c r="X97" s="232"/>
      <c r="Y97" s="232"/>
      <c r="Z97" s="232"/>
      <c r="AA97" s="232"/>
      <c r="AB97" s="232"/>
      <c r="AC97" s="232"/>
      <c r="AD97" s="232"/>
      <c r="AE97" s="232"/>
      <c r="AF97" s="232"/>
      <c r="AG97" s="232"/>
      <c r="AH97" s="232"/>
      <c r="AI97" s="232"/>
      <c r="AJ97" s="232"/>
      <c r="AK97" s="20">
        <f t="shared" si="34"/>
        <v>660</v>
      </c>
      <c r="AL97" s="60">
        <f t="shared" si="28"/>
        <v>0</v>
      </c>
      <c r="AM97" s="60">
        <f t="shared" si="29"/>
        <v>0</v>
      </c>
      <c r="AN97" s="60" t="str">
        <f t="shared" si="31"/>
        <v>0</v>
      </c>
      <c r="AO97" s="60">
        <f t="shared" si="32"/>
        <v>0</v>
      </c>
      <c r="AP97" s="251"/>
    </row>
    <row r="98" spans="1:42" s="7" customFormat="1" ht="13.5" thickBot="1" x14ac:dyDescent="0.25">
      <c r="A98" s="394"/>
      <c r="B98" s="397"/>
      <c r="C98" s="8" t="s">
        <v>23</v>
      </c>
      <c r="D98" s="69" t="s">
        <v>51</v>
      </c>
      <c r="E98" s="266">
        <v>2500</v>
      </c>
      <c r="F98" s="229"/>
      <c r="G98" s="250"/>
      <c r="H98" s="263">
        <v>660</v>
      </c>
      <c r="I98" s="11">
        <f t="shared" si="25"/>
        <v>120</v>
      </c>
      <c r="J98" s="29">
        <f t="shared" si="26"/>
        <v>0</v>
      </c>
      <c r="K98" s="232"/>
      <c r="L98" s="232"/>
      <c r="M98" s="232"/>
      <c r="N98" s="232">
        <v>660</v>
      </c>
      <c r="O98" s="232"/>
      <c r="P98" s="232"/>
      <c r="Q98" s="232"/>
      <c r="R98" s="232"/>
      <c r="S98" s="232"/>
      <c r="T98" s="232"/>
      <c r="U98" s="232"/>
      <c r="V98" s="232"/>
      <c r="W98" s="232"/>
      <c r="X98" s="232"/>
      <c r="Y98" s="232"/>
      <c r="Z98" s="232"/>
      <c r="AA98" s="232"/>
      <c r="AB98" s="232"/>
      <c r="AC98" s="232"/>
      <c r="AD98" s="232"/>
      <c r="AE98" s="232"/>
      <c r="AF98" s="232"/>
      <c r="AG98" s="232"/>
      <c r="AH98" s="232"/>
      <c r="AI98" s="232"/>
      <c r="AJ98" s="232"/>
      <c r="AK98" s="20">
        <f t="shared" si="34"/>
        <v>660</v>
      </c>
      <c r="AL98" s="60">
        <f t="shared" si="28"/>
        <v>0</v>
      </c>
      <c r="AM98" s="60">
        <f t="shared" si="29"/>
        <v>0</v>
      </c>
      <c r="AN98" s="60" t="str">
        <f t="shared" si="31"/>
        <v>0</v>
      </c>
      <c r="AO98" s="60">
        <f t="shared" si="32"/>
        <v>0</v>
      </c>
      <c r="AP98" s="251"/>
    </row>
    <row r="99" spans="1:42" s="7" customFormat="1" ht="13.5" thickBot="1" x14ac:dyDescent="0.25">
      <c r="A99" s="394"/>
      <c r="B99" s="397"/>
      <c r="C99" s="46" t="s">
        <v>23</v>
      </c>
      <c r="D99" s="71" t="s">
        <v>97</v>
      </c>
      <c r="E99" s="268">
        <v>2100</v>
      </c>
      <c r="F99" s="229">
        <v>2000</v>
      </c>
      <c r="G99" s="250"/>
      <c r="H99" s="263">
        <v>660</v>
      </c>
      <c r="I99" s="11">
        <f t="shared" si="25"/>
        <v>120</v>
      </c>
      <c r="J99" s="48">
        <f t="shared" si="26"/>
        <v>630</v>
      </c>
      <c r="K99" s="232"/>
      <c r="L99" s="232"/>
      <c r="M99" s="232"/>
      <c r="N99" s="232"/>
      <c r="O99" s="232"/>
      <c r="P99" s="232"/>
      <c r="Q99" s="232"/>
      <c r="R99" s="232"/>
      <c r="S99" s="232"/>
      <c r="T99" s="232"/>
      <c r="U99" s="232"/>
      <c r="V99" s="232"/>
      <c r="W99" s="232"/>
      <c r="X99" s="232"/>
      <c r="Y99" s="232"/>
      <c r="Z99" s="232"/>
      <c r="AA99" s="232"/>
      <c r="AB99" s="232"/>
      <c r="AC99" s="232">
        <v>30</v>
      </c>
      <c r="AD99" s="232"/>
      <c r="AE99" s="232"/>
      <c r="AF99" s="232"/>
      <c r="AG99" s="232"/>
      <c r="AH99" s="232"/>
      <c r="AI99" s="232"/>
      <c r="AJ99" s="232"/>
      <c r="AK99" s="65">
        <f t="shared" si="34"/>
        <v>30</v>
      </c>
      <c r="AL99" s="60">
        <f t="shared" si="28"/>
        <v>0.95454545454545459</v>
      </c>
      <c r="AM99" s="60">
        <f t="shared" si="29"/>
        <v>0.95238095238095233</v>
      </c>
      <c r="AN99" s="60">
        <f t="shared" si="31"/>
        <v>1</v>
      </c>
      <c r="AO99" s="60">
        <f t="shared" si="32"/>
        <v>0.90909090909090906</v>
      </c>
      <c r="AP99" s="251"/>
    </row>
    <row r="100" spans="1:42" s="7" customFormat="1" ht="13.5" thickBot="1" x14ac:dyDescent="0.25">
      <c r="A100" s="395"/>
      <c r="B100" s="398"/>
      <c r="C100" s="54" t="s">
        <v>23</v>
      </c>
      <c r="D100" s="72" t="s">
        <v>50</v>
      </c>
      <c r="E100" s="270">
        <v>1550</v>
      </c>
      <c r="F100" s="235">
        <v>1500</v>
      </c>
      <c r="G100" s="255"/>
      <c r="H100" s="263">
        <v>660</v>
      </c>
      <c r="I100" s="40">
        <f t="shared" si="25"/>
        <v>120</v>
      </c>
      <c r="J100" s="56">
        <f t="shared" si="26"/>
        <v>640</v>
      </c>
      <c r="K100" s="238"/>
      <c r="L100" s="238"/>
      <c r="M100" s="238"/>
      <c r="N100" s="238"/>
      <c r="O100" s="238"/>
      <c r="P100" s="238"/>
      <c r="Q100" s="238"/>
      <c r="R100" s="238"/>
      <c r="S100" s="238"/>
      <c r="T100" s="238"/>
      <c r="U100" s="238"/>
      <c r="V100" s="238"/>
      <c r="W100" s="238"/>
      <c r="X100" s="238"/>
      <c r="Y100" s="238"/>
      <c r="Z100" s="238"/>
      <c r="AA100" s="238"/>
      <c r="AB100" s="238"/>
      <c r="AC100" s="238">
        <v>20</v>
      </c>
      <c r="AD100" s="238"/>
      <c r="AE100" s="238"/>
      <c r="AF100" s="238"/>
      <c r="AG100" s="238"/>
      <c r="AH100" s="238"/>
      <c r="AI100" s="238"/>
      <c r="AJ100" s="238"/>
      <c r="AK100" s="66">
        <f t="shared" si="34"/>
        <v>20</v>
      </c>
      <c r="AL100" s="67">
        <f t="shared" si="28"/>
        <v>0.96969696969696972</v>
      </c>
      <c r="AM100" s="67">
        <f t="shared" si="29"/>
        <v>0.967741935483871</v>
      </c>
      <c r="AN100" s="67">
        <f t="shared" si="31"/>
        <v>1</v>
      </c>
      <c r="AO100" s="67">
        <f t="shared" si="32"/>
        <v>0.93841642228739008</v>
      </c>
      <c r="AP100" s="256"/>
    </row>
    <row r="101" spans="1:42" s="7" customFormat="1" ht="13.5" thickBot="1" x14ac:dyDescent="0.25">
      <c r="A101" s="393">
        <f t="shared" ref="A101" si="39">A96+1</f>
        <v>46042</v>
      </c>
      <c r="B101" s="396">
        <f t="shared" si="36"/>
        <v>46042</v>
      </c>
      <c r="C101" s="50" t="s">
        <v>23</v>
      </c>
      <c r="D101" s="68" t="s">
        <v>47</v>
      </c>
      <c r="E101" s="262">
        <v>3500</v>
      </c>
      <c r="F101" s="223">
        <v>3400</v>
      </c>
      <c r="G101" s="249">
        <v>8</v>
      </c>
      <c r="H101" s="263">
        <v>660</v>
      </c>
      <c r="I101" s="51">
        <f t="shared" si="25"/>
        <v>120</v>
      </c>
      <c r="J101" s="52">
        <f t="shared" si="26"/>
        <v>640</v>
      </c>
      <c r="K101" s="226"/>
      <c r="L101" s="226"/>
      <c r="M101" s="232"/>
      <c r="N101" s="226"/>
      <c r="O101" s="226"/>
      <c r="P101" s="226"/>
      <c r="Q101" s="226"/>
      <c r="R101" s="226"/>
      <c r="S101" s="226"/>
      <c r="T101" s="226"/>
      <c r="U101" s="226"/>
      <c r="V101" s="226"/>
      <c r="W101" s="226"/>
      <c r="X101" s="226"/>
      <c r="Y101" s="226"/>
      <c r="Z101" s="226"/>
      <c r="AA101" s="226"/>
      <c r="AB101" s="226"/>
      <c r="AC101" s="226">
        <v>20</v>
      </c>
      <c r="AD101" s="226"/>
      <c r="AE101" s="226"/>
      <c r="AF101" s="226"/>
      <c r="AG101" s="226"/>
      <c r="AH101" s="226"/>
      <c r="AI101" s="226"/>
      <c r="AJ101" s="226"/>
      <c r="AK101" s="64">
        <f t="shared" si="34"/>
        <v>20</v>
      </c>
      <c r="AL101" s="59">
        <f t="shared" si="28"/>
        <v>0.96969696969696972</v>
      </c>
      <c r="AM101" s="59">
        <f t="shared" si="29"/>
        <v>0.97142857142857142</v>
      </c>
      <c r="AN101" s="59">
        <f t="shared" si="31"/>
        <v>0.99765258215962438</v>
      </c>
      <c r="AO101" s="59">
        <f t="shared" si="32"/>
        <v>0.93978009470967216</v>
      </c>
      <c r="AP101" s="243"/>
    </row>
    <row r="102" spans="1:42" s="7" customFormat="1" ht="13.5" thickBot="1" x14ac:dyDescent="0.25">
      <c r="A102" s="394"/>
      <c r="B102" s="397"/>
      <c r="C102" s="46" t="s">
        <v>23</v>
      </c>
      <c r="D102" s="69" t="s">
        <v>48</v>
      </c>
      <c r="E102" s="266">
        <v>3000</v>
      </c>
      <c r="F102" s="229"/>
      <c r="G102" s="250"/>
      <c r="H102" s="263">
        <v>660</v>
      </c>
      <c r="I102" s="11">
        <f t="shared" si="25"/>
        <v>120</v>
      </c>
      <c r="J102" s="48">
        <f t="shared" si="26"/>
        <v>0</v>
      </c>
      <c r="K102" s="232"/>
      <c r="L102" s="232"/>
      <c r="M102" s="232">
        <v>660</v>
      </c>
      <c r="N102" s="232"/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32"/>
      <c r="AJ102" s="232"/>
      <c r="AK102" s="20">
        <f t="shared" si="34"/>
        <v>660</v>
      </c>
      <c r="AL102" s="60">
        <f t="shared" si="28"/>
        <v>0</v>
      </c>
      <c r="AM102" s="60">
        <f t="shared" si="29"/>
        <v>0</v>
      </c>
      <c r="AN102" s="60" t="str">
        <f t="shared" si="31"/>
        <v>0</v>
      </c>
      <c r="AO102" s="60">
        <f t="shared" si="32"/>
        <v>0</v>
      </c>
      <c r="AP102" s="251"/>
    </row>
    <row r="103" spans="1:42" s="7" customFormat="1" ht="13.5" thickBot="1" x14ac:dyDescent="0.25">
      <c r="A103" s="394"/>
      <c r="B103" s="397"/>
      <c r="C103" s="8" t="s">
        <v>23</v>
      </c>
      <c r="D103" s="69" t="s">
        <v>51</v>
      </c>
      <c r="E103" s="266">
        <v>2500</v>
      </c>
      <c r="F103" s="229"/>
      <c r="G103" s="250"/>
      <c r="H103" s="263">
        <v>660</v>
      </c>
      <c r="I103" s="11">
        <f t="shared" si="25"/>
        <v>120</v>
      </c>
      <c r="J103" s="29">
        <f t="shared" si="26"/>
        <v>0</v>
      </c>
      <c r="K103" s="232"/>
      <c r="L103" s="232"/>
      <c r="M103" s="232"/>
      <c r="N103" s="232">
        <v>660</v>
      </c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  <c r="AI103" s="232"/>
      <c r="AJ103" s="232"/>
      <c r="AK103" s="20">
        <f t="shared" si="34"/>
        <v>660</v>
      </c>
      <c r="AL103" s="60">
        <f t="shared" si="28"/>
        <v>0</v>
      </c>
      <c r="AM103" s="60">
        <f t="shared" si="29"/>
        <v>0</v>
      </c>
      <c r="AN103" s="60" t="str">
        <f t="shared" si="31"/>
        <v>0</v>
      </c>
      <c r="AO103" s="60">
        <f t="shared" si="32"/>
        <v>0</v>
      </c>
      <c r="AP103" s="251"/>
    </row>
    <row r="104" spans="1:42" s="7" customFormat="1" ht="13.5" thickBot="1" x14ac:dyDescent="0.25">
      <c r="A104" s="394"/>
      <c r="B104" s="397"/>
      <c r="C104" s="46" t="s">
        <v>23</v>
      </c>
      <c r="D104" s="71" t="s">
        <v>97</v>
      </c>
      <c r="E104" s="268">
        <v>2100</v>
      </c>
      <c r="F104" s="229">
        <v>2000</v>
      </c>
      <c r="G104" s="250"/>
      <c r="H104" s="263">
        <v>660</v>
      </c>
      <c r="I104" s="11">
        <f t="shared" si="25"/>
        <v>120</v>
      </c>
      <c r="J104" s="48">
        <f t="shared" si="26"/>
        <v>630</v>
      </c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  <c r="AA104" s="232"/>
      <c r="AB104" s="232"/>
      <c r="AC104" s="232">
        <v>30</v>
      </c>
      <c r="AD104" s="232"/>
      <c r="AE104" s="232"/>
      <c r="AF104" s="232"/>
      <c r="AG104" s="232"/>
      <c r="AH104" s="232"/>
      <c r="AI104" s="232"/>
      <c r="AJ104" s="232"/>
      <c r="AK104" s="65">
        <f t="shared" si="34"/>
        <v>30</v>
      </c>
      <c r="AL104" s="60">
        <f t="shared" si="28"/>
        <v>0.95454545454545459</v>
      </c>
      <c r="AM104" s="60">
        <f t="shared" si="29"/>
        <v>0.95238095238095233</v>
      </c>
      <c r="AN104" s="60">
        <f t="shared" si="31"/>
        <v>1</v>
      </c>
      <c r="AO104" s="60">
        <f t="shared" si="32"/>
        <v>0.90909090909090906</v>
      </c>
      <c r="AP104" s="251"/>
    </row>
    <row r="105" spans="1:42" s="7" customFormat="1" ht="13.5" thickBot="1" x14ac:dyDescent="0.25">
      <c r="A105" s="395"/>
      <c r="B105" s="398"/>
      <c r="C105" s="54" t="s">
        <v>23</v>
      </c>
      <c r="D105" s="72" t="s">
        <v>50</v>
      </c>
      <c r="E105" s="270">
        <v>1550</v>
      </c>
      <c r="F105" s="235">
        <v>1500</v>
      </c>
      <c r="G105" s="255"/>
      <c r="H105" s="263">
        <v>660</v>
      </c>
      <c r="I105" s="40">
        <f t="shared" si="25"/>
        <v>120</v>
      </c>
      <c r="J105" s="56">
        <f t="shared" si="26"/>
        <v>640</v>
      </c>
      <c r="K105" s="238"/>
      <c r="L105" s="238"/>
      <c r="M105" s="238"/>
      <c r="N105" s="238"/>
      <c r="O105" s="238"/>
      <c r="P105" s="238"/>
      <c r="Q105" s="238"/>
      <c r="R105" s="238"/>
      <c r="S105" s="238"/>
      <c r="T105" s="238"/>
      <c r="U105" s="238"/>
      <c r="V105" s="238"/>
      <c r="W105" s="238"/>
      <c r="X105" s="238"/>
      <c r="Y105" s="238"/>
      <c r="Z105" s="238"/>
      <c r="AA105" s="238"/>
      <c r="AB105" s="238"/>
      <c r="AC105" s="238">
        <v>20</v>
      </c>
      <c r="AD105" s="238"/>
      <c r="AE105" s="238"/>
      <c r="AF105" s="238"/>
      <c r="AG105" s="238"/>
      <c r="AH105" s="238"/>
      <c r="AI105" s="238"/>
      <c r="AJ105" s="238"/>
      <c r="AK105" s="66">
        <f t="shared" si="34"/>
        <v>20</v>
      </c>
      <c r="AL105" s="67">
        <f t="shared" si="28"/>
        <v>0.96969696969696972</v>
      </c>
      <c r="AM105" s="67">
        <f t="shared" si="29"/>
        <v>0.967741935483871</v>
      </c>
      <c r="AN105" s="67">
        <f t="shared" si="31"/>
        <v>1</v>
      </c>
      <c r="AO105" s="67">
        <f t="shared" si="32"/>
        <v>0.93841642228739008</v>
      </c>
      <c r="AP105" s="256"/>
    </row>
    <row r="106" spans="1:42" s="7" customFormat="1" ht="13.5" thickBot="1" x14ac:dyDescent="0.25">
      <c r="A106" s="393">
        <f t="shared" ref="A106" si="40">A101+1</f>
        <v>46043</v>
      </c>
      <c r="B106" s="396">
        <f t="shared" si="36"/>
        <v>46043</v>
      </c>
      <c r="C106" s="50" t="s">
        <v>23</v>
      </c>
      <c r="D106" s="68" t="s">
        <v>47</v>
      </c>
      <c r="E106" s="262">
        <v>3500</v>
      </c>
      <c r="F106" s="223"/>
      <c r="G106" s="249"/>
      <c r="H106" s="263">
        <v>660</v>
      </c>
      <c r="I106" s="51">
        <f t="shared" si="25"/>
        <v>120</v>
      </c>
      <c r="J106" s="52">
        <f t="shared" si="26"/>
        <v>0</v>
      </c>
      <c r="K106" s="226"/>
      <c r="L106" s="226"/>
      <c r="M106" s="226">
        <v>660</v>
      </c>
      <c r="N106" s="226"/>
      <c r="O106" s="226"/>
      <c r="P106" s="226"/>
      <c r="Q106" s="226"/>
      <c r="R106" s="226"/>
      <c r="S106" s="226"/>
      <c r="T106" s="226"/>
      <c r="U106" s="226"/>
      <c r="V106" s="226"/>
      <c r="W106" s="226"/>
      <c r="X106" s="226"/>
      <c r="Y106" s="226"/>
      <c r="Z106" s="226"/>
      <c r="AA106" s="226"/>
      <c r="AB106" s="226"/>
      <c r="AC106" s="226"/>
      <c r="AD106" s="226"/>
      <c r="AE106" s="226"/>
      <c r="AF106" s="226"/>
      <c r="AG106" s="226"/>
      <c r="AH106" s="226"/>
      <c r="AI106" s="226"/>
      <c r="AJ106" s="226"/>
      <c r="AK106" s="64">
        <f t="shared" si="34"/>
        <v>660</v>
      </c>
      <c r="AL106" s="59">
        <f t="shared" si="28"/>
        <v>0</v>
      </c>
      <c r="AM106" s="59">
        <f t="shared" si="29"/>
        <v>0</v>
      </c>
      <c r="AN106" s="59" t="str">
        <f t="shared" si="31"/>
        <v>0</v>
      </c>
      <c r="AO106" s="59">
        <f t="shared" si="32"/>
        <v>0</v>
      </c>
      <c r="AP106" s="243"/>
    </row>
    <row r="107" spans="1:42" s="7" customFormat="1" ht="13.5" thickBot="1" x14ac:dyDescent="0.25">
      <c r="A107" s="394"/>
      <c r="B107" s="397"/>
      <c r="C107" s="46" t="s">
        <v>23</v>
      </c>
      <c r="D107" s="69" t="s">
        <v>48</v>
      </c>
      <c r="E107" s="266">
        <v>3000</v>
      </c>
      <c r="F107" s="229"/>
      <c r="G107" s="250"/>
      <c r="H107" s="263">
        <v>660</v>
      </c>
      <c r="I107" s="11">
        <f t="shared" si="25"/>
        <v>120</v>
      </c>
      <c r="J107" s="48">
        <f t="shared" si="26"/>
        <v>0</v>
      </c>
      <c r="K107" s="232"/>
      <c r="L107" s="232"/>
      <c r="M107" s="232">
        <v>660</v>
      </c>
      <c r="N107" s="232"/>
      <c r="O107" s="232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  <c r="AJ107" s="232"/>
      <c r="AK107" s="20">
        <f t="shared" si="34"/>
        <v>660</v>
      </c>
      <c r="AL107" s="60">
        <f t="shared" si="28"/>
        <v>0</v>
      </c>
      <c r="AM107" s="60">
        <f t="shared" si="29"/>
        <v>0</v>
      </c>
      <c r="AN107" s="60" t="str">
        <f t="shared" si="31"/>
        <v>0</v>
      </c>
      <c r="AO107" s="60">
        <f t="shared" si="32"/>
        <v>0</v>
      </c>
      <c r="AP107" s="251"/>
    </row>
    <row r="108" spans="1:42" s="7" customFormat="1" ht="13.5" thickBot="1" x14ac:dyDescent="0.25">
      <c r="A108" s="394"/>
      <c r="B108" s="397"/>
      <c r="C108" s="8" t="s">
        <v>23</v>
      </c>
      <c r="D108" s="69" t="s">
        <v>51</v>
      </c>
      <c r="E108" s="266">
        <v>2500</v>
      </c>
      <c r="F108" s="229"/>
      <c r="G108" s="250"/>
      <c r="H108" s="263">
        <v>660</v>
      </c>
      <c r="I108" s="11">
        <f t="shared" si="25"/>
        <v>120</v>
      </c>
      <c r="J108" s="29">
        <f t="shared" si="26"/>
        <v>0</v>
      </c>
      <c r="K108" s="232"/>
      <c r="L108" s="232"/>
      <c r="M108" s="232">
        <v>660</v>
      </c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0">
        <f t="shared" si="34"/>
        <v>660</v>
      </c>
      <c r="AL108" s="60">
        <f t="shared" si="28"/>
        <v>0</v>
      </c>
      <c r="AM108" s="60">
        <f t="shared" si="29"/>
        <v>0</v>
      </c>
      <c r="AN108" s="60" t="str">
        <f t="shared" si="31"/>
        <v>0</v>
      </c>
      <c r="AO108" s="60">
        <f t="shared" si="32"/>
        <v>0</v>
      </c>
      <c r="AP108" s="251"/>
    </row>
    <row r="109" spans="1:42" s="7" customFormat="1" ht="13.5" thickBot="1" x14ac:dyDescent="0.25">
      <c r="A109" s="394"/>
      <c r="B109" s="397"/>
      <c r="C109" s="46" t="s">
        <v>23</v>
      </c>
      <c r="D109" s="71" t="s">
        <v>97</v>
      </c>
      <c r="E109" s="268">
        <v>2100</v>
      </c>
      <c r="F109" s="229">
        <v>2000</v>
      </c>
      <c r="G109" s="250"/>
      <c r="H109" s="263">
        <v>660</v>
      </c>
      <c r="I109" s="11">
        <f t="shared" si="25"/>
        <v>120</v>
      </c>
      <c r="J109" s="48">
        <f t="shared" si="26"/>
        <v>630</v>
      </c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  <c r="AA109" s="232"/>
      <c r="AB109" s="232"/>
      <c r="AC109" s="232">
        <v>30</v>
      </c>
      <c r="AD109" s="232"/>
      <c r="AE109" s="232"/>
      <c r="AF109" s="232"/>
      <c r="AG109" s="232"/>
      <c r="AH109" s="232"/>
      <c r="AI109" s="232"/>
      <c r="AJ109" s="232"/>
      <c r="AK109" s="65">
        <f t="shared" si="34"/>
        <v>30</v>
      </c>
      <c r="AL109" s="60">
        <f t="shared" si="28"/>
        <v>0.95454545454545459</v>
      </c>
      <c r="AM109" s="60">
        <f t="shared" si="29"/>
        <v>0.95238095238095233</v>
      </c>
      <c r="AN109" s="60">
        <f t="shared" si="31"/>
        <v>1</v>
      </c>
      <c r="AO109" s="60">
        <f t="shared" si="32"/>
        <v>0.90909090909090906</v>
      </c>
      <c r="AP109" s="251"/>
    </row>
    <row r="110" spans="1:42" s="7" customFormat="1" ht="13.5" thickBot="1" x14ac:dyDescent="0.25">
      <c r="A110" s="395"/>
      <c r="B110" s="398"/>
      <c r="C110" s="54" t="s">
        <v>23</v>
      </c>
      <c r="D110" s="72" t="s">
        <v>50</v>
      </c>
      <c r="E110" s="270">
        <v>1550</v>
      </c>
      <c r="F110" s="235">
        <v>1500</v>
      </c>
      <c r="G110" s="255"/>
      <c r="H110" s="263">
        <v>660</v>
      </c>
      <c r="I110" s="40">
        <f t="shared" si="25"/>
        <v>120</v>
      </c>
      <c r="J110" s="56">
        <f t="shared" si="26"/>
        <v>640</v>
      </c>
      <c r="K110" s="238"/>
      <c r="L110" s="238"/>
      <c r="M110" s="238"/>
      <c r="N110" s="238"/>
      <c r="O110" s="238"/>
      <c r="P110" s="238"/>
      <c r="Q110" s="238"/>
      <c r="R110" s="238"/>
      <c r="S110" s="238"/>
      <c r="T110" s="238"/>
      <c r="U110" s="238"/>
      <c r="V110" s="238"/>
      <c r="W110" s="238"/>
      <c r="X110" s="238"/>
      <c r="Y110" s="238"/>
      <c r="Z110" s="238"/>
      <c r="AA110" s="238"/>
      <c r="AB110" s="238"/>
      <c r="AC110" s="238">
        <v>20</v>
      </c>
      <c r="AD110" s="238"/>
      <c r="AE110" s="238"/>
      <c r="AF110" s="238"/>
      <c r="AG110" s="238"/>
      <c r="AH110" s="238"/>
      <c r="AI110" s="238"/>
      <c r="AJ110" s="238"/>
      <c r="AK110" s="66">
        <f t="shared" si="34"/>
        <v>20</v>
      </c>
      <c r="AL110" s="67">
        <f t="shared" si="28"/>
        <v>0.96969696969696972</v>
      </c>
      <c r="AM110" s="67">
        <f t="shared" si="29"/>
        <v>0.967741935483871</v>
      </c>
      <c r="AN110" s="67">
        <f t="shared" si="31"/>
        <v>1</v>
      </c>
      <c r="AO110" s="67">
        <f t="shared" si="32"/>
        <v>0.93841642228739008</v>
      </c>
      <c r="AP110" s="256"/>
    </row>
    <row r="111" spans="1:42" s="7" customFormat="1" ht="13.5" hidden="1" thickBot="1" x14ac:dyDescent="0.25">
      <c r="A111" s="221"/>
      <c r="B111" s="220"/>
      <c r="C111" s="273"/>
      <c r="D111" s="70"/>
      <c r="E111" s="270"/>
      <c r="F111" s="245"/>
      <c r="G111" s="274"/>
      <c r="H111" s="263">
        <v>660</v>
      </c>
      <c r="I111" s="240"/>
      <c r="J111" s="275"/>
      <c r="K111" s="247"/>
      <c r="L111" s="247"/>
      <c r="M111" s="247"/>
      <c r="N111" s="247"/>
      <c r="O111" s="247"/>
      <c r="P111" s="247"/>
      <c r="Q111" s="247"/>
      <c r="R111" s="247"/>
      <c r="S111" s="247"/>
      <c r="T111" s="247"/>
      <c r="U111" s="247"/>
      <c r="V111" s="247"/>
      <c r="W111" s="247"/>
      <c r="X111" s="247"/>
      <c r="Y111" s="247"/>
      <c r="Z111" s="247"/>
      <c r="AA111" s="247"/>
      <c r="AB111" s="247"/>
      <c r="AC111" s="247"/>
      <c r="AD111" s="247"/>
      <c r="AE111" s="247"/>
      <c r="AF111" s="247"/>
      <c r="AG111" s="247"/>
      <c r="AH111" s="247"/>
      <c r="AI111" s="247"/>
      <c r="AJ111" s="247"/>
      <c r="AK111" s="276"/>
      <c r="AL111" s="277"/>
      <c r="AM111" s="277"/>
      <c r="AN111" s="277"/>
      <c r="AO111" s="277"/>
      <c r="AP111" s="248"/>
    </row>
    <row r="112" spans="1:42" s="7" customFormat="1" ht="13.5" thickBot="1" x14ac:dyDescent="0.25">
      <c r="A112" s="393">
        <f t="shared" ref="A112" si="41">A106+1</f>
        <v>46044</v>
      </c>
      <c r="B112" s="396">
        <f t="shared" si="36"/>
        <v>46044</v>
      </c>
      <c r="C112" s="50" t="s">
        <v>23</v>
      </c>
      <c r="D112" s="68" t="s">
        <v>47</v>
      </c>
      <c r="E112" s="262">
        <v>3500</v>
      </c>
      <c r="F112" s="223"/>
      <c r="G112" s="249"/>
      <c r="H112" s="263">
        <v>660</v>
      </c>
      <c r="I112" s="51">
        <f t="shared" si="25"/>
        <v>120</v>
      </c>
      <c r="J112" s="52">
        <f t="shared" si="26"/>
        <v>0</v>
      </c>
      <c r="K112" s="226"/>
      <c r="L112" s="226"/>
      <c r="M112" s="226">
        <v>660</v>
      </c>
      <c r="N112" s="226"/>
      <c r="O112" s="226"/>
      <c r="P112" s="226"/>
      <c r="Q112" s="226"/>
      <c r="R112" s="226"/>
      <c r="S112" s="226"/>
      <c r="T112" s="226"/>
      <c r="U112" s="226"/>
      <c r="V112" s="226"/>
      <c r="W112" s="226"/>
      <c r="X112" s="226"/>
      <c r="Y112" s="226"/>
      <c r="Z112" s="226"/>
      <c r="AA112" s="226"/>
      <c r="AB112" s="226"/>
      <c r="AC112" s="226"/>
      <c r="AD112" s="226"/>
      <c r="AE112" s="226"/>
      <c r="AF112" s="226"/>
      <c r="AG112" s="226"/>
      <c r="AH112" s="226"/>
      <c r="AI112" s="226"/>
      <c r="AJ112" s="226"/>
      <c r="AK112" s="64">
        <f t="shared" si="34"/>
        <v>660</v>
      </c>
      <c r="AL112" s="59">
        <f t="shared" si="28"/>
        <v>0</v>
      </c>
      <c r="AM112" s="59">
        <f t="shared" si="29"/>
        <v>0</v>
      </c>
      <c r="AN112" s="59" t="str">
        <f t="shared" si="31"/>
        <v>0</v>
      </c>
      <c r="AO112" s="59">
        <f t="shared" si="32"/>
        <v>0</v>
      </c>
      <c r="AP112" s="243"/>
    </row>
    <row r="113" spans="1:42" s="7" customFormat="1" ht="13.5" thickBot="1" x14ac:dyDescent="0.25">
      <c r="A113" s="394"/>
      <c r="B113" s="397"/>
      <c r="C113" s="46" t="s">
        <v>23</v>
      </c>
      <c r="D113" s="69" t="s">
        <v>48</v>
      </c>
      <c r="E113" s="266">
        <v>3000</v>
      </c>
      <c r="F113" s="229"/>
      <c r="G113" s="250"/>
      <c r="H113" s="263">
        <v>660</v>
      </c>
      <c r="I113" s="11">
        <f t="shared" si="25"/>
        <v>120</v>
      </c>
      <c r="J113" s="48">
        <f t="shared" si="26"/>
        <v>0</v>
      </c>
      <c r="K113" s="232"/>
      <c r="L113" s="226"/>
      <c r="M113" s="226">
        <v>660</v>
      </c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  <c r="AK113" s="20">
        <f t="shared" si="34"/>
        <v>660</v>
      </c>
      <c r="AL113" s="60">
        <f t="shared" si="28"/>
        <v>0</v>
      </c>
      <c r="AM113" s="60">
        <f t="shared" si="29"/>
        <v>0</v>
      </c>
      <c r="AN113" s="60" t="str">
        <f t="shared" si="31"/>
        <v>0</v>
      </c>
      <c r="AO113" s="60">
        <f t="shared" si="32"/>
        <v>0</v>
      </c>
      <c r="AP113" s="251"/>
    </row>
    <row r="114" spans="1:42" s="7" customFormat="1" ht="13.5" thickBot="1" x14ac:dyDescent="0.25">
      <c r="A114" s="394"/>
      <c r="B114" s="397"/>
      <c r="C114" s="8" t="s">
        <v>23</v>
      </c>
      <c r="D114" s="69" t="s">
        <v>51</v>
      </c>
      <c r="E114" s="266">
        <v>2500</v>
      </c>
      <c r="F114" s="229">
        <v>1543</v>
      </c>
      <c r="G114" s="250"/>
      <c r="H114" s="263">
        <v>660</v>
      </c>
      <c r="I114" s="11">
        <f t="shared" si="25"/>
        <v>120</v>
      </c>
      <c r="J114" s="29">
        <f t="shared" si="26"/>
        <v>410</v>
      </c>
      <c r="K114" s="232"/>
      <c r="L114" s="226"/>
      <c r="M114" s="232"/>
      <c r="N114" s="232">
        <v>115</v>
      </c>
      <c r="O114" s="232"/>
      <c r="P114" s="232"/>
      <c r="Q114" s="232"/>
      <c r="R114" s="232"/>
      <c r="S114" s="232">
        <v>55</v>
      </c>
      <c r="T114" s="232"/>
      <c r="U114" s="232"/>
      <c r="V114" s="232"/>
      <c r="W114" s="232"/>
      <c r="X114" s="232"/>
      <c r="Y114" s="232">
        <v>50</v>
      </c>
      <c r="Z114" s="232"/>
      <c r="AA114" s="232"/>
      <c r="AB114" s="232"/>
      <c r="AC114" s="232">
        <v>30</v>
      </c>
      <c r="AD114" s="232"/>
      <c r="AE114" s="232"/>
      <c r="AF114" s="232"/>
      <c r="AG114" s="232"/>
      <c r="AH114" s="232"/>
      <c r="AI114" s="232"/>
      <c r="AJ114" s="232"/>
      <c r="AK114" s="20">
        <f t="shared" si="34"/>
        <v>250</v>
      </c>
      <c r="AL114" s="60">
        <f t="shared" si="28"/>
        <v>0.62121212121212122</v>
      </c>
      <c r="AM114" s="60">
        <f t="shared" si="29"/>
        <v>0.61719999999999997</v>
      </c>
      <c r="AN114" s="60">
        <f t="shared" si="31"/>
        <v>1</v>
      </c>
      <c r="AO114" s="60">
        <f t="shared" si="32"/>
        <v>0.3834121212121212</v>
      </c>
      <c r="AP114" s="251"/>
    </row>
    <row r="115" spans="1:42" s="7" customFormat="1" ht="13.5" thickBot="1" x14ac:dyDescent="0.25">
      <c r="A115" s="394"/>
      <c r="B115" s="397"/>
      <c r="C115" s="46" t="s">
        <v>23</v>
      </c>
      <c r="D115" s="71" t="s">
        <v>97</v>
      </c>
      <c r="E115" s="268">
        <v>2100</v>
      </c>
      <c r="F115" s="229">
        <v>1116</v>
      </c>
      <c r="G115" s="250"/>
      <c r="H115" s="263">
        <v>660</v>
      </c>
      <c r="I115" s="11">
        <f t="shared" si="25"/>
        <v>120</v>
      </c>
      <c r="J115" s="48">
        <f t="shared" si="26"/>
        <v>370</v>
      </c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>
        <v>260</v>
      </c>
      <c r="AB115" s="232"/>
      <c r="AC115" s="232">
        <v>30</v>
      </c>
      <c r="AD115" s="232"/>
      <c r="AE115" s="232"/>
      <c r="AF115" s="232"/>
      <c r="AG115" s="232"/>
      <c r="AH115" s="232"/>
      <c r="AI115" s="232"/>
      <c r="AJ115" s="232"/>
      <c r="AK115" s="65">
        <f t="shared" si="34"/>
        <v>290</v>
      </c>
      <c r="AL115" s="60">
        <f t="shared" si="28"/>
        <v>0.56060606060606055</v>
      </c>
      <c r="AM115" s="60">
        <f t="shared" si="29"/>
        <v>0.53142857142857147</v>
      </c>
      <c r="AN115" s="60">
        <f t="shared" si="31"/>
        <v>1</v>
      </c>
      <c r="AO115" s="60">
        <f t="shared" si="32"/>
        <v>0.29792207792207792</v>
      </c>
      <c r="AP115" s="251"/>
    </row>
    <row r="116" spans="1:42" s="7" customFormat="1" ht="13.5" thickBot="1" x14ac:dyDescent="0.25">
      <c r="A116" s="395"/>
      <c r="B116" s="398"/>
      <c r="C116" s="54" t="s">
        <v>23</v>
      </c>
      <c r="D116" s="72" t="s">
        <v>50</v>
      </c>
      <c r="E116" s="270">
        <v>1550</v>
      </c>
      <c r="F116" s="235">
        <v>700</v>
      </c>
      <c r="G116" s="255"/>
      <c r="H116" s="263">
        <v>660</v>
      </c>
      <c r="I116" s="40">
        <f t="shared" si="25"/>
        <v>120</v>
      </c>
      <c r="J116" s="56">
        <f t="shared" si="26"/>
        <v>300</v>
      </c>
      <c r="K116" s="238"/>
      <c r="L116" s="238"/>
      <c r="M116" s="238">
        <v>60</v>
      </c>
      <c r="N116" s="238"/>
      <c r="O116" s="238"/>
      <c r="P116" s="238"/>
      <c r="Q116" s="238"/>
      <c r="R116" s="238"/>
      <c r="S116" s="238"/>
      <c r="T116" s="238"/>
      <c r="U116" s="238"/>
      <c r="V116" s="238"/>
      <c r="W116" s="238"/>
      <c r="X116" s="238"/>
      <c r="Y116" s="238"/>
      <c r="Z116" s="238"/>
      <c r="AA116" s="238">
        <v>300</v>
      </c>
      <c r="AB116" s="238"/>
      <c r="AC116" s="238"/>
      <c r="AD116" s="238"/>
      <c r="AE116" s="238"/>
      <c r="AF116" s="238"/>
      <c r="AG116" s="238"/>
      <c r="AH116" s="238"/>
      <c r="AI116" s="238"/>
      <c r="AJ116" s="238"/>
      <c r="AK116" s="66">
        <f t="shared" si="34"/>
        <v>360</v>
      </c>
      <c r="AL116" s="67">
        <f t="shared" si="28"/>
        <v>0.45454545454545453</v>
      </c>
      <c r="AM116" s="67">
        <f t="shared" si="29"/>
        <v>0.45161290322580644</v>
      </c>
      <c r="AN116" s="67">
        <f t="shared" si="31"/>
        <v>1</v>
      </c>
      <c r="AO116" s="67">
        <f t="shared" si="32"/>
        <v>0.20527859237536655</v>
      </c>
      <c r="AP116" s="256"/>
    </row>
    <row r="117" spans="1:42" s="7" customFormat="1" ht="13.5" thickBot="1" x14ac:dyDescent="0.25">
      <c r="A117" s="393">
        <f t="shared" ref="A117" si="42">A112+1</f>
        <v>46045</v>
      </c>
      <c r="B117" s="396">
        <f t="shared" si="36"/>
        <v>46045</v>
      </c>
      <c r="C117" s="50" t="s">
        <v>23</v>
      </c>
      <c r="D117" s="68" t="s">
        <v>47</v>
      </c>
      <c r="E117" s="262"/>
      <c r="F117" s="223"/>
      <c r="G117" s="249"/>
      <c r="H117" s="263">
        <v>660</v>
      </c>
      <c r="I117" s="51">
        <f t="shared" si="25"/>
        <v>0</v>
      </c>
      <c r="J117" s="52">
        <f t="shared" si="26"/>
        <v>660</v>
      </c>
      <c r="K117" s="226"/>
      <c r="L117" s="226"/>
      <c r="M117" s="226"/>
      <c r="N117" s="226"/>
      <c r="O117" s="226"/>
      <c r="P117" s="226"/>
      <c r="Q117" s="226"/>
      <c r="R117" s="226"/>
      <c r="S117" s="226"/>
      <c r="T117" s="226"/>
      <c r="U117" s="226"/>
      <c r="V117" s="226"/>
      <c r="W117" s="226"/>
      <c r="X117" s="226"/>
      <c r="Y117" s="226"/>
      <c r="Z117" s="226"/>
      <c r="AA117" s="226"/>
      <c r="AB117" s="226"/>
      <c r="AC117" s="226"/>
      <c r="AD117" s="226"/>
      <c r="AE117" s="226"/>
      <c r="AF117" s="226"/>
      <c r="AG117" s="226"/>
      <c r="AH117" s="226"/>
      <c r="AI117" s="226"/>
      <c r="AJ117" s="226"/>
      <c r="AK117" s="64">
        <f t="shared" si="34"/>
        <v>0</v>
      </c>
      <c r="AL117" s="59">
        <f t="shared" si="28"/>
        <v>1</v>
      </c>
      <c r="AM117" s="59" t="str">
        <f t="shared" si="29"/>
        <v>0</v>
      </c>
      <c r="AN117" s="59" t="str">
        <f t="shared" si="31"/>
        <v>0</v>
      </c>
      <c r="AO117" s="59">
        <f t="shared" si="32"/>
        <v>0</v>
      </c>
      <c r="AP117" s="243"/>
    </row>
    <row r="118" spans="1:42" s="7" customFormat="1" ht="13.5" thickBot="1" x14ac:dyDescent="0.25">
      <c r="A118" s="394"/>
      <c r="B118" s="397"/>
      <c r="C118" s="46" t="s">
        <v>23</v>
      </c>
      <c r="D118" s="69" t="s">
        <v>48</v>
      </c>
      <c r="E118" s="266"/>
      <c r="F118" s="229"/>
      <c r="G118" s="250"/>
      <c r="H118" s="263">
        <v>660</v>
      </c>
      <c r="I118" s="11">
        <f t="shared" si="25"/>
        <v>0</v>
      </c>
      <c r="J118" s="48">
        <f t="shared" si="26"/>
        <v>660</v>
      </c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2"/>
      <c r="AA118" s="232"/>
      <c r="AB118" s="232"/>
      <c r="AC118" s="232"/>
      <c r="AD118" s="232"/>
      <c r="AE118" s="232"/>
      <c r="AF118" s="232"/>
      <c r="AG118" s="232"/>
      <c r="AH118" s="232"/>
      <c r="AI118" s="232"/>
      <c r="AJ118" s="232"/>
      <c r="AK118" s="20">
        <f t="shared" si="34"/>
        <v>0</v>
      </c>
      <c r="AL118" s="60">
        <f t="shared" si="28"/>
        <v>1</v>
      </c>
      <c r="AM118" s="60" t="str">
        <f t="shared" si="29"/>
        <v>0</v>
      </c>
      <c r="AN118" s="60" t="str">
        <f t="shared" si="31"/>
        <v>0</v>
      </c>
      <c r="AO118" s="60">
        <f t="shared" si="32"/>
        <v>0</v>
      </c>
      <c r="AP118" s="251"/>
    </row>
    <row r="119" spans="1:42" s="7" customFormat="1" ht="13.5" thickBot="1" x14ac:dyDescent="0.25">
      <c r="A119" s="394"/>
      <c r="B119" s="397"/>
      <c r="C119" s="8" t="s">
        <v>23</v>
      </c>
      <c r="D119" s="69" t="s">
        <v>51</v>
      </c>
      <c r="E119" s="266"/>
      <c r="F119" s="229"/>
      <c r="G119" s="250"/>
      <c r="H119" s="263">
        <v>660</v>
      </c>
      <c r="I119" s="11">
        <f t="shared" si="25"/>
        <v>0</v>
      </c>
      <c r="J119" s="29">
        <f t="shared" si="26"/>
        <v>660</v>
      </c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  <c r="AA119" s="232"/>
      <c r="AB119" s="232"/>
      <c r="AC119" s="232"/>
      <c r="AD119" s="232"/>
      <c r="AE119" s="232"/>
      <c r="AF119" s="232"/>
      <c r="AG119" s="232"/>
      <c r="AH119" s="232"/>
      <c r="AI119" s="232"/>
      <c r="AJ119" s="232"/>
      <c r="AK119" s="20">
        <f t="shared" si="34"/>
        <v>0</v>
      </c>
      <c r="AL119" s="60">
        <f t="shared" si="28"/>
        <v>1</v>
      </c>
      <c r="AM119" s="60" t="str">
        <f t="shared" si="29"/>
        <v>0</v>
      </c>
      <c r="AN119" s="60" t="str">
        <f t="shared" si="31"/>
        <v>0</v>
      </c>
      <c r="AO119" s="60">
        <f t="shared" si="32"/>
        <v>0</v>
      </c>
      <c r="AP119" s="251"/>
    </row>
    <row r="120" spans="1:42" s="7" customFormat="1" ht="13.5" thickBot="1" x14ac:dyDescent="0.25">
      <c r="A120" s="394"/>
      <c r="B120" s="397"/>
      <c r="C120" s="46" t="s">
        <v>23</v>
      </c>
      <c r="D120" s="71" t="s">
        <v>97</v>
      </c>
      <c r="E120" s="268"/>
      <c r="F120" s="229"/>
      <c r="G120" s="250"/>
      <c r="H120" s="263">
        <v>660</v>
      </c>
      <c r="I120" s="11">
        <f t="shared" si="25"/>
        <v>0</v>
      </c>
      <c r="J120" s="48">
        <f t="shared" si="26"/>
        <v>660</v>
      </c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  <c r="AA120" s="232"/>
      <c r="AB120" s="232"/>
      <c r="AC120" s="232"/>
      <c r="AD120" s="232"/>
      <c r="AE120" s="232"/>
      <c r="AF120" s="232"/>
      <c r="AG120" s="232"/>
      <c r="AH120" s="232"/>
      <c r="AI120" s="232"/>
      <c r="AJ120" s="232"/>
      <c r="AK120" s="65">
        <f t="shared" si="34"/>
        <v>0</v>
      </c>
      <c r="AL120" s="60">
        <f t="shared" si="28"/>
        <v>1</v>
      </c>
      <c r="AM120" s="60" t="str">
        <f t="shared" si="29"/>
        <v>0</v>
      </c>
      <c r="AN120" s="60" t="str">
        <f t="shared" si="31"/>
        <v>0</v>
      </c>
      <c r="AO120" s="60">
        <f t="shared" si="32"/>
        <v>0</v>
      </c>
      <c r="AP120" s="251"/>
    </row>
    <row r="121" spans="1:42" s="7" customFormat="1" ht="13.5" thickBot="1" x14ac:dyDescent="0.25">
      <c r="A121" s="395"/>
      <c r="B121" s="398"/>
      <c r="C121" s="54" t="s">
        <v>23</v>
      </c>
      <c r="D121" s="72" t="s">
        <v>50</v>
      </c>
      <c r="E121" s="270"/>
      <c r="F121" s="235"/>
      <c r="G121" s="255"/>
      <c r="H121" s="263">
        <v>660</v>
      </c>
      <c r="I121" s="40">
        <f t="shared" si="25"/>
        <v>0</v>
      </c>
      <c r="J121" s="56">
        <f t="shared" si="26"/>
        <v>660</v>
      </c>
      <c r="K121" s="238"/>
      <c r="L121" s="238"/>
      <c r="M121" s="238"/>
      <c r="N121" s="238"/>
      <c r="O121" s="238"/>
      <c r="P121" s="238"/>
      <c r="Q121" s="238"/>
      <c r="R121" s="238"/>
      <c r="S121" s="238"/>
      <c r="T121" s="238"/>
      <c r="U121" s="238"/>
      <c r="V121" s="238"/>
      <c r="W121" s="238"/>
      <c r="X121" s="238"/>
      <c r="Y121" s="238"/>
      <c r="Z121" s="238"/>
      <c r="AA121" s="238"/>
      <c r="AB121" s="238"/>
      <c r="AC121" s="238"/>
      <c r="AD121" s="238"/>
      <c r="AE121" s="238"/>
      <c r="AF121" s="238"/>
      <c r="AG121" s="238"/>
      <c r="AH121" s="238"/>
      <c r="AI121" s="238"/>
      <c r="AJ121" s="238"/>
      <c r="AK121" s="66">
        <f t="shared" si="34"/>
        <v>0</v>
      </c>
      <c r="AL121" s="67">
        <f t="shared" si="28"/>
        <v>1</v>
      </c>
      <c r="AM121" s="67" t="str">
        <f t="shared" si="29"/>
        <v>0</v>
      </c>
      <c r="AN121" s="67" t="str">
        <f t="shared" si="31"/>
        <v>0</v>
      </c>
      <c r="AO121" s="67">
        <f t="shared" si="32"/>
        <v>0</v>
      </c>
      <c r="AP121" s="256"/>
    </row>
    <row r="122" spans="1:42" s="7" customFormat="1" ht="13.5" thickBot="1" x14ac:dyDescent="0.25">
      <c r="A122" s="393">
        <f t="shared" ref="A122" si="43">A117+1</f>
        <v>46046</v>
      </c>
      <c r="B122" s="396">
        <f t="shared" si="36"/>
        <v>46046</v>
      </c>
      <c r="C122" s="50" t="s">
        <v>23</v>
      </c>
      <c r="D122" s="68" t="s">
        <v>47</v>
      </c>
      <c r="E122" s="262">
        <v>3500</v>
      </c>
      <c r="F122" s="223">
        <v>3000</v>
      </c>
      <c r="G122" s="249">
        <v>8</v>
      </c>
      <c r="H122" s="263">
        <v>660</v>
      </c>
      <c r="I122" s="51">
        <f t="shared" si="25"/>
        <v>120</v>
      </c>
      <c r="J122" s="52">
        <f t="shared" si="26"/>
        <v>630</v>
      </c>
      <c r="K122" s="226"/>
      <c r="L122" s="226"/>
      <c r="M122" s="226"/>
      <c r="N122" s="226"/>
      <c r="O122" s="226"/>
      <c r="P122" s="226"/>
      <c r="Q122" s="226"/>
      <c r="R122" s="226"/>
      <c r="S122" s="226"/>
      <c r="T122" s="226"/>
      <c r="U122" s="226"/>
      <c r="V122" s="226"/>
      <c r="W122" s="226"/>
      <c r="X122" s="226"/>
      <c r="Y122" s="226"/>
      <c r="Z122" s="226"/>
      <c r="AA122" s="226"/>
      <c r="AB122" s="226"/>
      <c r="AC122" s="226">
        <v>30</v>
      </c>
      <c r="AD122" s="226"/>
      <c r="AE122" s="226"/>
      <c r="AF122" s="226"/>
      <c r="AG122" s="226"/>
      <c r="AH122" s="226"/>
      <c r="AI122" s="226"/>
      <c r="AJ122" s="226"/>
      <c r="AK122" s="64">
        <f t="shared" si="34"/>
        <v>30</v>
      </c>
      <c r="AL122" s="59">
        <f t="shared" si="28"/>
        <v>0.95454545454545459</v>
      </c>
      <c r="AM122" s="59">
        <f t="shared" si="29"/>
        <v>0.8571428571428571</v>
      </c>
      <c r="AN122" s="59">
        <f t="shared" si="31"/>
        <v>0.99734042553191493</v>
      </c>
      <c r="AO122" s="59">
        <f t="shared" si="32"/>
        <v>0.81600580270793044</v>
      </c>
      <c r="AP122" s="243"/>
    </row>
    <row r="123" spans="1:42" s="7" customFormat="1" ht="13.5" thickBot="1" x14ac:dyDescent="0.25">
      <c r="A123" s="394"/>
      <c r="B123" s="397"/>
      <c r="C123" s="46" t="s">
        <v>23</v>
      </c>
      <c r="D123" s="69" t="s">
        <v>48</v>
      </c>
      <c r="E123" s="266">
        <v>3000</v>
      </c>
      <c r="F123" s="229"/>
      <c r="G123" s="250"/>
      <c r="H123" s="263">
        <v>660</v>
      </c>
      <c r="I123" s="11">
        <f t="shared" si="25"/>
        <v>120</v>
      </c>
      <c r="J123" s="48">
        <f t="shared" si="26"/>
        <v>0</v>
      </c>
      <c r="K123" s="232"/>
      <c r="L123" s="232"/>
      <c r="M123" s="232"/>
      <c r="N123" s="232"/>
      <c r="O123" s="232"/>
      <c r="P123" s="232"/>
      <c r="Q123" s="232"/>
      <c r="R123" s="232"/>
      <c r="S123" s="232"/>
      <c r="T123" s="232">
        <v>660</v>
      </c>
      <c r="U123" s="232"/>
      <c r="V123" s="232"/>
      <c r="W123" s="232"/>
      <c r="X123" s="232"/>
      <c r="Y123" s="232"/>
      <c r="Z123" s="232"/>
      <c r="AA123" s="232"/>
      <c r="AB123" s="232"/>
      <c r="AC123" s="232"/>
      <c r="AD123" s="232"/>
      <c r="AE123" s="232"/>
      <c r="AF123" s="232"/>
      <c r="AG123" s="232"/>
      <c r="AH123" s="232"/>
      <c r="AI123" s="232"/>
      <c r="AJ123" s="232"/>
      <c r="AK123" s="20">
        <f t="shared" si="34"/>
        <v>660</v>
      </c>
      <c r="AL123" s="60">
        <f t="shared" si="28"/>
        <v>0</v>
      </c>
      <c r="AM123" s="60">
        <f t="shared" si="29"/>
        <v>0</v>
      </c>
      <c r="AN123" s="60" t="str">
        <f t="shared" si="31"/>
        <v>0</v>
      </c>
      <c r="AO123" s="60">
        <f t="shared" si="32"/>
        <v>0</v>
      </c>
      <c r="AP123" s="251"/>
    </row>
    <row r="124" spans="1:42" s="7" customFormat="1" ht="13.5" thickBot="1" x14ac:dyDescent="0.25">
      <c r="A124" s="394"/>
      <c r="B124" s="397"/>
      <c r="C124" s="8" t="s">
        <v>23</v>
      </c>
      <c r="D124" s="69" t="s">
        <v>51</v>
      </c>
      <c r="E124" s="266">
        <v>2500</v>
      </c>
      <c r="F124" s="229">
        <v>1632</v>
      </c>
      <c r="G124" s="250">
        <v>4</v>
      </c>
      <c r="H124" s="263">
        <v>660</v>
      </c>
      <c r="I124" s="11">
        <f t="shared" si="25"/>
        <v>120</v>
      </c>
      <c r="J124" s="29">
        <f t="shared" si="26"/>
        <v>430</v>
      </c>
      <c r="K124" s="232"/>
      <c r="L124" s="232"/>
      <c r="M124" s="232">
        <v>55</v>
      </c>
      <c r="N124" s="232"/>
      <c r="O124" s="232"/>
      <c r="P124" s="232"/>
      <c r="Q124" s="232"/>
      <c r="R124" s="232"/>
      <c r="S124" s="232">
        <v>60</v>
      </c>
      <c r="T124" s="232"/>
      <c r="U124" s="232"/>
      <c r="V124" s="232"/>
      <c r="W124" s="232"/>
      <c r="X124" s="232"/>
      <c r="Y124" s="232">
        <v>60</v>
      </c>
      <c r="Z124" s="232"/>
      <c r="AA124" s="232"/>
      <c r="AB124" s="232"/>
      <c r="AC124" s="232">
        <v>30</v>
      </c>
      <c r="AD124" s="232"/>
      <c r="AE124" s="232"/>
      <c r="AF124" s="232"/>
      <c r="AG124" s="232">
        <v>25</v>
      </c>
      <c r="AH124" s="232"/>
      <c r="AI124" s="232"/>
      <c r="AJ124" s="232"/>
      <c r="AK124" s="20">
        <f t="shared" si="34"/>
        <v>230</v>
      </c>
      <c r="AL124" s="60">
        <f t="shared" si="28"/>
        <v>0.65151515151515149</v>
      </c>
      <c r="AM124" s="60">
        <f t="shared" si="29"/>
        <v>0.65280000000000005</v>
      </c>
      <c r="AN124" s="60">
        <f t="shared" si="31"/>
        <v>0.99755501222493892</v>
      </c>
      <c r="AO124" s="60">
        <f t="shared" si="32"/>
        <v>0.42426921538119583</v>
      </c>
      <c r="AP124" s="251"/>
    </row>
    <row r="125" spans="1:42" s="7" customFormat="1" ht="13.5" thickBot="1" x14ac:dyDescent="0.25">
      <c r="A125" s="394"/>
      <c r="B125" s="397"/>
      <c r="C125" s="46" t="s">
        <v>23</v>
      </c>
      <c r="D125" s="71" t="s">
        <v>98</v>
      </c>
      <c r="E125" s="268">
        <v>2100</v>
      </c>
      <c r="F125" s="229">
        <v>1833</v>
      </c>
      <c r="G125" s="250"/>
      <c r="H125" s="263">
        <v>660</v>
      </c>
      <c r="I125" s="11">
        <f t="shared" si="25"/>
        <v>120</v>
      </c>
      <c r="J125" s="48">
        <f t="shared" si="26"/>
        <v>575</v>
      </c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  <c r="AA125" s="232">
        <v>55</v>
      </c>
      <c r="AB125" s="232"/>
      <c r="AC125" s="232">
        <v>30</v>
      </c>
      <c r="AD125" s="232"/>
      <c r="AE125" s="232"/>
      <c r="AF125" s="232"/>
      <c r="AG125" s="232"/>
      <c r="AH125" s="232"/>
      <c r="AI125" s="232"/>
      <c r="AJ125" s="232"/>
      <c r="AK125" s="65">
        <f t="shared" si="34"/>
        <v>85</v>
      </c>
      <c r="AL125" s="60">
        <f t="shared" si="28"/>
        <v>0.87121212121212122</v>
      </c>
      <c r="AM125" s="60">
        <f t="shared" si="29"/>
        <v>0.87285714285714289</v>
      </c>
      <c r="AN125" s="60">
        <f t="shared" si="31"/>
        <v>1</v>
      </c>
      <c r="AO125" s="60">
        <f t="shared" si="32"/>
        <v>0.76044372294372298</v>
      </c>
      <c r="AP125" s="251"/>
    </row>
    <row r="126" spans="1:42" s="7" customFormat="1" ht="13.5" thickBot="1" x14ac:dyDescent="0.25">
      <c r="A126" s="395"/>
      <c r="B126" s="398"/>
      <c r="C126" s="54" t="s">
        <v>23</v>
      </c>
      <c r="D126" s="72" t="s">
        <v>50</v>
      </c>
      <c r="E126" s="270">
        <v>1550</v>
      </c>
      <c r="F126" s="235">
        <v>1100</v>
      </c>
      <c r="G126" s="255"/>
      <c r="H126" s="263">
        <v>660</v>
      </c>
      <c r="I126" s="40">
        <f t="shared" si="25"/>
        <v>120</v>
      </c>
      <c r="J126" s="56">
        <f t="shared" si="26"/>
        <v>490</v>
      </c>
      <c r="K126" s="238"/>
      <c r="L126" s="238"/>
      <c r="M126" s="238"/>
      <c r="N126" s="232"/>
      <c r="O126" s="238"/>
      <c r="P126" s="238"/>
      <c r="Q126" s="238"/>
      <c r="R126" s="238"/>
      <c r="S126" s="238"/>
      <c r="T126" s="238"/>
      <c r="U126" s="238"/>
      <c r="V126" s="238"/>
      <c r="W126" s="238"/>
      <c r="X126" s="238"/>
      <c r="Y126" s="238">
        <v>20</v>
      </c>
      <c r="Z126" s="238"/>
      <c r="AA126" s="238">
        <v>120</v>
      </c>
      <c r="AB126" s="238"/>
      <c r="AC126" s="238">
        <v>30</v>
      </c>
      <c r="AD126" s="238"/>
      <c r="AE126" s="238"/>
      <c r="AF126" s="238"/>
      <c r="AG126" s="238"/>
      <c r="AH126" s="238"/>
      <c r="AI126" s="238"/>
      <c r="AJ126" s="238"/>
      <c r="AK126" s="66">
        <f t="shared" si="34"/>
        <v>170</v>
      </c>
      <c r="AL126" s="67">
        <f t="shared" si="28"/>
        <v>0.74242424242424243</v>
      </c>
      <c r="AM126" s="67">
        <f t="shared" si="29"/>
        <v>0.70967741935483875</v>
      </c>
      <c r="AN126" s="67">
        <f t="shared" si="31"/>
        <v>1</v>
      </c>
      <c r="AO126" s="67">
        <f t="shared" si="32"/>
        <v>0.5268817204301075</v>
      </c>
      <c r="AP126" s="256"/>
    </row>
    <row r="127" spans="1:42" s="7" customFormat="1" ht="13.5" thickBot="1" x14ac:dyDescent="0.25">
      <c r="A127" s="393">
        <f t="shared" ref="A127" si="44">A122+1</f>
        <v>46047</v>
      </c>
      <c r="B127" s="396">
        <f t="shared" si="36"/>
        <v>46047</v>
      </c>
      <c r="C127" s="50" t="s">
        <v>23</v>
      </c>
      <c r="D127" s="68" t="s">
        <v>103</v>
      </c>
      <c r="E127" s="262">
        <v>3500</v>
      </c>
      <c r="F127" s="223">
        <v>2126</v>
      </c>
      <c r="G127" s="249">
        <v>8</v>
      </c>
      <c r="H127" s="263">
        <v>660</v>
      </c>
      <c r="I127" s="51">
        <f t="shared" si="25"/>
        <v>120</v>
      </c>
      <c r="J127" s="52">
        <f t="shared" si="26"/>
        <v>400</v>
      </c>
      <c r="K127" s="226"/>
      <c r="L127" s="226"/>
      <c r="M127" s="226">
        <v>120</v>
      </c>
      <c r="N127" s="226"/>
      <c r="O127" s="226"/>
      <c r="P127" s="226"/>
      <c r="Q127" s="226"/>
      <c r="R127" s="226"/>
      <c r="S127" s="226">
        <v>60</v>
      </c>
      <c r="T127" s="226"/>
      <c r="U127" s="226"/>
      <c r="V127" s="226"/>
      <c r="W127" s="226"/>
      <c r="X127" s="226"/>
      <c r="Y127" s="226">
        <v>30</v>
      </c>
      <c r="Z127" s="226"/>
      <c r="AA127" s="226"/>
      <c r="AB127" s="226"/>
      <c r="AC127" s="226">
        <v>30</v>
      </c>
      <c r="AD127" s="226"/>
      <c r="AE127" s="226"/>
      <c r="AF127" s="226"/>
      <c r="AG127" s="226">
        <v>20</v>
      </c>
      <c r="AH127" s="226"/>
      <c r="AI127" s="226"/>
      <c r="AJ127" s="226"/>
      <c r="AK127" s="64">
        <f t="shared" si="34"/>
        <v>260</v>
      </c>
      <c r="AL127" s="59">
        <f t="shared" si="28"/>
        <v>0.60606060606060608</v>
      </c>
      <c r="AM127" s="59">
        <f t="shared" si="29"/>
        <v>0.60742857142857143</v>
      </c>
      <c r="AN127" s="59">
        <f t="shared" si="31"/>
        <v>0.99625117150890352</v>
      </c>
      <c r="AO127" s="59">
        <f t="shared" si="32"/>
        <v>0.36675843993557211</v>
      </c>
      <c r="AP127" s="243"/>
    </row>
    <row r="128" spans="1:42" s="7" customFormat="1" ht="13.5" thickBot="1" x14ac:dyDescent="0.25">
      <c r="A128" s="394"/>
      <c r="B128" s="397"/>
      <c r="C128" s="46" t="s">
        <v>23</v>
      </c>
      <c r="D128" s="69" t="s">
        <v>48</v>
      </c>
      <c r="E128" s="266">
        <v>3000</v>
      </c>
      <c r="F128" s="229"/>
      <c r="G128" s="250"/>
      <c r="H128" s="263">
        <v>660</v>
      </c>
      <c r="I128" s="11">
        <f t="shared" si="25"/>
        <v>120</v>
      </c>
      <c r="J128" s="48">
        <f t="shared" si="26"/>
        <v>0</v>
      </c>
      <c r="K128" s="232"/>
      <c r="L128" s="232"/>
      <c r="M128" s="232"/>
      <c r="N128" s="232"/>
      <c r="O128" s="232"/>
      <c r="P128" s="232"/>
      <c r="Q128" s="232"/>
      <c r="R128" s="232"/>
      <c r="S128" s="232"/>
      <c r="T128" s="232">
        <v>660</v>
      </c>
      <c r="U128" s="232"/>
      <c r="V128" s="232"/>
      <c r="W128" s="232"/>
      <c r="X128" s="232"/>
      <c r="Y128" s="232"/>
      <c r="Z128" s="232"/>
      <c r="AA128" s="232"/>
      <c r="AB128" s="232"/>
      <c r="AC128" s="232"/>
      <c r="AD128" s="232"/>
      <c r="AE128" s="232"/>
      <c r="AF128" s="232"/>
      <c r="AG128" s="232"/>
      <c r="AH128" s="232"/>
      <c r="AI128" s="232"/>
      <c r="AJ128" s="232"/>
      <c r="AK128" s="20">
        <f t="shared" si="34"/>
        <v>660</v>
      </c>
      <c r="AL128" s="60">
        <f t="shared" si="28"/>
        <v>0</v>
      </c>
      <c r="AM128" s="60">
        <f t="shared" si="29"/>
        <v>0</v>
      </c>
      <c r="AN128" s="60" t="str">
        <f t="shared" si="31"/>
        <v>0</v>
      </c>
      <c r="AO128" s="60">
        <f t="shared" si="32"/>
        <v>0</v>
      </c>
      <c r="AP128" s="251"/>
    </row>
    <row r="129" spans="1:42" s="7" customFormat="1" ht="13.5" thickBot="1" x14ac:dyDescent="0.25">
      <c r="A129" s="394"/>
      <c r="B129" s="397"/>
      <c r="C129" s="8" t="s">
        <v>23</v>
      </c>
      <c r="D129" s="69" t="s">
        <v>51</v>
      </c>
      <c r="E129" s="266">
        <v>2500</v>
      </c>
      <c r="F129" s="229">
        <v>1679</v>
      </c>
      <c r="G129" s="250"/>
      <c r="H129" s="263">
        <v>660</v>
      </c>
      <c r="I129" s="11">
        <f t="shared" si="25"/>
        <v>120</v>
      </c>
      <c r="J129" s="29">
        <f t="shared" si="26"/>
        <v>445</v>
      </c>
      <c r="K129" s="232"/>
      <c r="L129" s="232"/>
      <c r="M129" s="232"/>
      <c r="N129" s="232"/>
      <c r="O129" s="232"/>
      <c r="P129" s="232">
        <v>25</v>
      </c>
      <c r="Q129" s="232"/>
      <c r="R129" s="232"/>
      <c r="S129" s="232">
        <v>50</v>
      </c>
      <c r="T129" s="232"/>
      <c r="U129" s="232"/>
      <c r="V129" s="232"/>
      <c r="W129" s="232"/>
      <c r="X129" s="232"/>
      <c r="Y129" s="232">
        <v>50</v>
      </c>
      <c r="Z129" s="232"/>
      <c r="AA129" s="232"/>
      <c r="AB129" s="232"/>
      <c r="AC129" s="232">
        <v>30</v>
      </c>
      <c r="AD129" s="232"/>
      <c r="AE129" s="232"/>
      <c r="AF129" s="232"/>
      <c r="AG129" s="232">
        <v>60</v>
      </c>
      <c r="AH129" s="232"/>
      <c r="AI129" s="232"/>
      <c r="AJ129" s="232"/>
      <c r="AK129" s="20">
        <f t="shared" si="34"/>
        <v>215</v>
      </c>
      <c r="AL129" s="60">
        <f t="shared" si="28"/>
        <v>0.6742424242424242</v>
      </c>
      <c r="AM129" s="60">
        <f t="shared" si="29"/>
        <v>0.67159999999999997</v>
      </c>
      <c r="AN129" s="60">
        <f t="shared" si="31"/>
        <v>1</v>
      </c>
      <c r="AO129" s="60">
        <f t="shared" si="32"/>
        <v>0.45282121212121207</v>
      </c>
      <c r="AP129" s="251"/>
    </row>
    <row r="130" spans="1:42" s="7" customFormat="1" ht="13.5" thickBot="1" x14ac:dyDescent="0.25">
      <c r="A130" s="394"/>
      <c r="B130" s="397"/>
      <c r="C130" s="46" t="s">
        <v>23</v>
      </c>
      <c r="D130" s="71" t="s">
        <v>98</v>
      </c>
      <c r="E130" s="268">
        <v>2100</v>
      </c>
      <c r="F130" s="229">
        <v>1833</v>
      </c>
      <c r="G130" s="250"/>
      <c r="H130" s="263">
        <v>660</v>
      </c>
      <c r="I130" s="11">
        <f t="shared" si="25"/>
        <v>120</v>
      </c>
      <c r="J130" s="48">
        <f t="shared" si="26"/>
        <v>577</v>
      </c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  <c r="AA130" s="232"/>
      <c r="AB130" s="232">
        <v>53</v>
      </c>
      <c r="AC130" s="232">
        <v>30</v>
      </c>
      <c r="AD130" s="232"/>
      <c r="AE130" s="232"/>
      <c r="AF130" s="232"/>
      <c r="AG130" s="232"/>
      <c r="AH130" s="232"/>
      <c r="AI130" s="232"/>
      <c r="AJ130" s="232"/>
      <c r="AK130" s="65">
        <f t="shared" si="34"/>
        <v>83</v>
      </c>
      <c r="AL130" s="60">
        <f t="shared" si="28"/>
        <v>0.87424242424242427</v>
      </c>
      <c r="AM130" s="60">
        <f t="shared" si="29"/>
        <v>0.87285714285714289</v>
      </c>
      <c r="AN130" s="60">
        <f t="shared" si="31"/>
        <v>1</v>
      </c>
      <c r="AO130" s="60">
        <f t="shared" si="32"/>
        <v>0.76308874458874465</v>
      </c>
      <c r="AP130" s="251"/>
    </row>
    <row r="131" spans="1:42" s="7" customFormat="1" ht="13.5" thickBot="1" x14ac:dyDescent="0.25">
      <c r="A131" s="395"/>
      <c r="B131" s="398"/>
      <c r="C131" s="54" t="s">
        <v>23</v>
      </c>
      <c r="D131" s="72" t="s">
        <v>50</v>
      </c>
      <c r="E131" s="270">
        <v>1550</v>
      </c>
      <c r="F131" s="235">
        <v>1000</v>
      </c>
      <c r="G131" s="255"/>
      <c r="H131" s="263">
        <v>660</v>
      </c>
      <c r="I131" s="40">
        <f t="shared" si="25"/>
        <v>120</v>
      </c>
      <c r="J131" s="56">
        <f t="shared" si="26"/>
        <v>425</v>
      </c>
      <c r="K131" s="238"/>
      <c r="L131" s="238"/>
      <c r="M131" s="238"/>
      <c r="N131" s="238"/>
      <c r="O131" s="238"/>
      <c r="P131" s="238"/>
      <c r="Q131" s="238"/>
      <c r="R131" s="238"/>
      <c r="S131" s="238"/>
      <c r="T131" s="238"/>
      <c r="U131" s="238"/>
      <c r="V131" s="238"/>
      <c r="W131" s="238"/>
      <c r="X131" s="238"/>
      <c r="Y131" s="238"/>
      <c r="Z131" s="238"/>
      <c r="AA131" s="238">
        <v>210</v>
      </c>
      <c r="AB131" s="238"/>
      <c r="AC131" s="238">
        <v>25</v>
      </c>
      <c r="AD131" s="238"/>
      <c r="AE131" s="238"/>
      <c r="AF131" s="238"/>
      <c r="AG131" s="238"/>
      <c r="AH131" s="238"/>
      <c r="AI131" s="238"/>
      <c r="AJ131" s="238"/>
      <c r="AK131" s="66">
        <f t="shared" si="34"/>
        <v>235</v>
      </c>
      <c r="AL131" s="67">
        <f t="shared" si="28"/>
        <v>0.64393939393939392</v>
      </c>
      <c r="AM131" s="67">
        <f t="shared" si="29"/>
        <v>0.64516129032258063</v>
      </c>
      <c r="AN131" s="67">
        <f t="shared" si="31"/>
        <v>1</v>
      </c>
      <c r="AO131" s="67">
        <f t="shared" si="32"/>
        <v>0.41544477028347992</v>
      </c>
      <c r="AP131" s="256"/>
    </row>
    <row r="132" spans="1:42" s="7" customFormat="1" ht="13.5" thickBot="1" x14ac:dyDescent="0.25">
      <c r="A132" s="393">
        <f t="shared" ref="A132" si="45">A127+1</f>
        <v>46048</v>
      </c>
      <c r="B132" s="396">
        <f t="shared" si="36"/>
        <v>46048</v>
      </c>
      <c r="C132" s="50" t="s">
        <v>23</v>
      </c>
      <c r="D132" s="68" t="s">
        <v>99</v>
      </c>
      <c r="E132" s="262">
        <v>2500</v>
      </c>
      <c r="F132" s="223"/>
      <c r="G132" s="249"/>
      <c r="H132" s="263">
        <v>480</v>
      </c>
      <c r="I132" s="51">
        <f t="shared" si="25"/>
        <v>120</v>
      </c>
      <c r="J132" s="52">
        <f t="shared" si="26"/>
        <v>0</v>
      </c>
      <c r="K132" s="226"/>
      <c r="L132" s="226"/>
      <c r="M132" s="226"/>
      <c r="N132" s="226">
        <v>480</v>
      </c>
      <c r="O132" s="226"/>
      <c r="P132" s="226"/>
      <c r="Q132" s="226"/>
      <c r="R132" s="226"/>
      <c r="S132" s="226"/>
      <c r="T132" s="226"/>
      <c r="U132" s="226"/>
      <c r="V132" s="226"/>
      <c r="W132" s="226"/>
      <c r="X132" s="226"/>
      <c r="Y132" s="226"/>
      <c r="Z132" s="226"/>
      <c r="AA132" s="226"/>
      <c r="AB132" s="226"/>
      <c r="AC132" s="226"/>
      <c r="AD132" s="226"/>
      <c r="AE132" s="226"/>
      <c r="AF132" s="226"/>
      <c r="AG132" s="226"/>
      <c r="AH132" s="226"/>
      <c r="AI132" s="226"/>
      <c r="AJ132" s="226"/>
      <c r="AK132" s="64">
        <f t="shared" si="34"/>
        <v>480</v>
      </c>
      <c r="AL132" s="59">
        <f t="shared" si="28"/>
        <v>0</v>
      </c>
      <c r="AM132" s="59">
        <f t="shared" si="29"/>
        <v>0</v>
      </c>
      <c r="AN132" s="59" t="str">
        <f t="shared" si="31"/>
        <v>0</v>
      </c>
      <c r="AO132" s="59">
        <f t="shared" si="32"/>
        <v>0</v>
      </c>
      <c r="AP132" s="243"/>
    </row>
    <row r="133" spans="1:42" s="7" customFormat="1" ht="13.5" thickBot="1" x14ac:dyDescent="0.25">
      <c r="A133" s="394"/>
      <c r="B133" s="397"/>
      <c r="C133" s="46" t="s">
        <v>23</v>
      </c>
      <c r="D133" s="69" t="s">
        <v>48</v>
      </c>
      <c r="E133" s="266">
        <v>2200</v>
      </c>
      <c r="F133" s="229"/>
      <c r="G133" s="250"/>
      <c r="H133" s="263">
        <v>480</v>
      </c>
      <c r="I133" s="11">
        <f t="shared" si="25"/>
        <v>120</v>
      </c>
      <c r="J133" s="48">
        <f t="shared" si="26"/>
        <v>0</v>
      </c>
      <c r="K133" s="232"/>
      <c r="L133" s="232"/>
      <c r="M133" s="232"/>
      <c r="N133" s="232"/>
      <c r="O133" s="232"/>
      <c r="P133" s="232"/>
      <c r="Q133" s="232"/>
      <c r="R133" s="232"/>
      <c r="S133" s="232"/>
      <c r="T133" s="232">
        <v>480</v>
      </c>
      <c r="U133" s="232"/>
      <c r="V133" s="232"/>
      <c r="W133" s="232"/>
      <c r="X133" s="232"/>
      <c r="Y133" s="232"/>
      <c r="Z133" s="232"/>
      <c r="AA133" s="232"/>
      <c r="AB133" s="232"/>
      <c r="AC133" s="232"/>
      <c r="AD133" s="232"/>
      <c r="AE133" s="232"/>
      <c r="AF133" s="232"/>
      <c r="AG133" s="232"/>
      <c r="AH133" s="232"/>
      <c r="AI133" s="232"/>
      <c r="AJ133" s="232"/>
      <c r="AK133" s="20">
        <f t="shared" si="34"/>
        <v>480</v>
      </c>
      <c r="AL133" s="60">
        <f t="shared" si="28"/>
        <v>0</v>
      </c>
      <c r="AM133" s="60">
        <f t="shared" si="29"/>
        <v>0</v>
      </c>
      <c r="AN133" s="60" t="str">
        <f t="shared" si="31"/>
        <v>0</v>
      </c>
      <c r="AO133" s="60">
        <f t="shared" si="32"/>
        <v>0</v>
      </c>
      <c r="AP133" s="251"/>
    </row>
    <row r="134" spans="1:42" s="7" customFormat="1" ht="13.5" thickBot="1" x14ac:dyDescent="0.25">
      <c r="A134" s="394"/>
      <c r="B134" s="397"/>
      <c r="C134" s="8" t="s">
        <v>23</v>
      </c>
      <c r="D134" s="69" t="s">
        <v>51</v>
      </c>
      <c r="E134" s="266">
        <v>1800</v>
      </c>
      <c r="F134" s="229">
        <v>1127</v>
      </c>
      <c r="G134" s="250"/>
      <c r="H134" s="263">
        <v>480</v>
      </c>
      <c r="I134" s="11">
        <f t="shared" ref="I134:I161" si="46">IF(E134&lt;&gt;"",120,0)</f>
        <v>120</v>
      </c>
      <c r="J134" s="29">
        <f t="shared" ref="J134:J161" si="47">H134-AK134</f>
        <v>180</v>
      </c>
      <c r="K134" s="232"/>
      <c r="L134" s="232"/>
      <c r="M134" s="232"/>
      <c r="N134" s="232"/>
      <c r="O134" s="232"/>
      <c r="P134" s="232"/>
      <c r="Q134" s="232"/>
      <c r="R134" s="232"/>
      <c r="S134" s="232">
        <v>60</v>
      </c>
      <c r="T134" s="232"/>
      <c r="U134" s="232"/>
      <c r="V134" s="232"/>
      <c r="W134" s="232"/>
      <c r="X134" s="232"/>
      <c r="Y134" s="232">
        <v>90</v>
      </c>
      <c r="Z134" s="232"/>
      <c r="AA134" s="232"/>
      <c r="AB134" s="232"/>
      <c r="AC134" s="232">
        <v>30</v>
      </c>
      <c r="AD134" s="232"/>
      <c r="AE134" s="232"/>
      <c r="AF134" s="232"/>
      <c r="AG134" s="232">
        <v>120</v>
      </c>
      <c r="AH134" s="232"/>
      <c r="AI134" s="232"/>
      <c r="AJ134" s="232"/>
      <c r="AK134" s="20">
        <f t="shared" si="34"/>
        <v>300</v>
      </c>
      <c r="AL134" s="60">
        <f t="shared" si="28"/>
        <v>0.375</v>
      </c>
      <c r="AM134" s="60">
        <f t="shared" si="29"/>
        <v>0.62611111111111106</v>
      </c>
      <c r="AN134" s="60">
        <f t="shared" si="31"/>
        <v>1</v>
      </c>
      <c r="AO134" s="60">
        <f t="shared" si="32"/>
        <v>0.23479166666666665</v>
      </c>
      <c r="AP134" s="251"/>
    </row>
    <row r="135" spans="1:42" s="7" customFormat="1" ht="13.5" thickBot="1" x14ac:dyDescent="0.25">
      <c r="A135" s="394"/>
      <c r="B135" s="397"/>
      <c r="C135" s="46" t="s">
        <v>23</v>
      </c>
      <c r="D135" s="71" t="s">
        <v>98</v>
      </c>
      <c r="E135" s="268">
        <v>1500</v>
      </c>
      <c r="F135" s="229">
        <v>700</v>
      </c>
      <c r="G135" s="250">
        <v>6</v>
      </c>
      <c r="H135" s="263">
        <v>480</v>
      </c>
      <c r="I135" s="11">
        <f t="shared" si="46"/>
        <v>120</v>
      </c>
      <c r="J135" s="48">
        <f t="shared" si="47"/>
        <v>230</v>
      </c>
      <c r="K135" s="232"/>
      <c r="L135" s="232"/>
      <c r="M135" s="232"/>
      <c r="N135" s="232"/>
      <c r="O135" s="232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  <c r="AA135" s="232">
        <v>180</v>
      </c>
      <c r="AB135" s="232"/>
      <c r="AC135" s="232">
        <v>30</v>
      </c>
      <c r="AD135" s="232"/>
      <c r="AE135" s="232"/>
      <c r="AF135" s="232"/>
      <c r="AG135" s="232">
        <v>40</v>
      </c>
      <c r="AH135" s="232"/>
      <c r="AI135" s="232"/>
      <c r="AJ135" s="232"/>
      <c r="AK135" s="65">
        <f t="shared" si="34"/>
        <v>250</v>
      </c>
      <c r="AL135" s="60">
        <f t="shared" si="28"/>
        <v>0.47916666666666669</v>
      </c>
      <c r="AM135" s="60">
        <f t="shared" si="29"/>
        <v>0.46666666666666667</v>
      </c>
      <c r="AN135" s="60">
        <f t="shared" si="31"/>
        <v>0.99150141643059486</v>
      </c>
      <c r="AO135" s="60">
        <f t="shared" si="32"/>
        <v>0.2217107333962858</v>
      </c>
      <c r="AP135" s="251"/>
    </row>
    <row r="136" spans="1:42" s="7" customFormat="1" ht="13.5" thickBot="1" x14ac:dyDescent="0.25">
      <c r="A136" s="395"/>
      <c r="B136" s="398"/>
      <c r="C136" s="54" t="s">
        <v>23</v>
      </c>
      <c r="D136" s="72" t="s">
        <v>50</v>
      </c>
      <c r="E136" s="270">
        <v>1100</v>
      </c>
      <c r="F136" s="235">
        <v>1000</v>
      </c>
      <c r="G136" s="255"/>
      <c r="H136" s="263">
        <v>480</v>
      </c>
      <c r="I136" s="40">
        <f t="shared" si="46"/>
        <v>120</v>
      </c>
      <c r="J136" s="56">
        <f t="shared" si="47"/>
        <v>435</v>
      </c>
      <c r="K136" s="238"/>
      <c r="L136" s="238"/>
      <c r="M136" s="238"/>
      <c r="N136" s="238"/>
      <c r="O136" s="238"/>
      <c r="P136" s="238"/>
      <c r="Q136" s="238"/>
      <c r="R136" s="238"/>
      <c r="S136" s="238"/>
      <c r="T136" s="238"/>
      <c r="U136" s="238"/>
      <c r="V136" s="238"/>
      <c r="W136" s="238"/>
      <c r="X136" s="238"/>
      <c r="Y136" s="238"/>
      <c r="Z136" s="238"/>
      <c r="AA136" s="238">
        <v>20</v>
      </c>
      <c r="AB136" s="238"/>
      <c r="AC136" s="238">
        <v>25</v>
      </c>
      <c r="AD136" s="238"/>
      <c r="AE136" s="238"/>
      <c r="AF136" s="238"/>
      <c r="AG136" s="238"/>
      <c r="AH136" s="238"/>
      <c r="AI136" s="238"/>
      <c r="AJ136" s="238"/>
      <c r="AK136" s="66">
        <f t="shared" si="34"/>
        <v>45</v>
      </c>
      <c r="AL136" s="67">
        <f t="shared" si="28"/>
        <v>0.90625</v>
      </c>
      <c r="AM136" s="67">
        <f t="shared" si="29"/>
        <v>0.90909090909090906</v>
      </c>
      <c r="AN136" s="67">
        <f t="shared" si="31"/>
        <v>1</v>
      </c>
      <c r="AO136" s="67">
        <f t="shared" si="32"/>
        <v>0.82386363636363635</v>
      </c>
      <c r="AP136" s="256"/>
    </row>
    <row r="137" spans="1:42" s="7" customFormat="1" ht="13.5" thickBot="1" x14ac:dyDescent="0.25">
      <c r="A137" s="393">
        <f t="shared" ref="A137" si="48">A132+1</f>
        <v>46049</v>
      </c>
      <c r="B137" s="396">
        <f t="shared" si="36"/>
        <v>46049</v>
      </c>
      <c r="C137" s="50" t="s">
        <v>23</v>
      </c>
      <c r="D137" s="68" t="s">
        <v>99</v>
      </c>
      <c r="E137" s="262">
        <v>2500</v>
      </c>
      <c r="F137" s="223"/>
      <c r="G137" s="249"/>
      <c r="H137" s="263">
        <v>480</v>
      </c>
      <c r="I137" s="51">
        <f t="shared" si="46"/>
        <v>120</v>
      </c>
      <c r="J137" s="52">
        <f t="shared" si="47"/>
        <v>0</v>
      </c>
      <c r="K137" s="226"/>
      <c r="L137" s="226"/>
      <c r="M137" s="226">
        <v>480</v>
      </c>
      <c r="N137" s="226"/>
      <c r="O137" s="226"/>
      <c r="P137" s="226"/>
      <c r="Q137" s="226"/>
      <c r="R137" s="226"/>
      <c r="S137" s="226"/>
      <c r="T137" s="226"/>
      <c r="U137" s="226"/>
      <c r="V137" s="226"/>
      <c r="W137" s="226"/>
      <c r="X137" s="226"/>
      <c r="Y137" s="226"/>
      <c r="Z137" s="226"/>
      <c r="AA137" s="226"/>
      <c r="AB137" s="226"/>
      <c r="AC137" s="226"/>
      <c r="AD137" s="226"/>
      <c r="AE137" s="226"/>
      <c r="AF137" s="226"/>
      <c r="AG137" s="226"/>
      <c r="AH137" s="226"/>
      <c r="AI137" s="226"/>
      <c r="AJ137" s="226"/>
      <c r="AK137" s="64">
        <f t="shared" si="34"/>
        <v>480</v>
      </c>
      <c r="AL137" s="59">
        <f t="shared" si="28"/>
        <v>0</v>
      </c>
      <c r="AM137" s="59">
        <f t="shared" si="29"/>
        <v>0</v>
      </c>
      <c r="AN137" s="59" t="str">
        <f t="shared" si="31"/>
        <v>0</v>
      </c>
      <c r="AO137" s="59">
        <f t="shared" si="32"/>
        <v>0</v>
      </c>
      <c r="AP137" s="243"/>
    </row>
    <row r="138" spans="1:42" s="7" customFormat="1" ht="13.5" thickBot="1" x14ac:dyDescent="0.25">
      <c r="A138" s="394"/>
      <c r="B138" s="397"/>
      <c r="C138" s="46" t="s">
        <v>23</v>
      </c>
      <c r="D138" s="69" t="s">
        <v>48</v>
      </c>
      <c r="E138" s="266">
        <v>2200</v>
      </c>
      <c r="F138" s="229"/>
      <c r="G138" s="250"/>
      <c r="H138" s="263">
        <v>480</v>
      </c>
      <c r="I138" s="11">
        <f t="shared" si="46"/>
        <v>120</v>
      </c>
      <c r="J138" s="48">
        <f t="shared" si="47"/>
        <v>0</v>
      </c>
      <c r="K138" s="232"/>
      <c r="L138" s="232"/>
      <c r="M138" s="232"/>
      <c r="N138" s="232"/>
      <c r="O138" s="232"/>
      <c r="P138" s="232"/>
      <c r="Q138" s="232"/>
      <c r="R138" s="232"/>
      <c r="S138" s="232"/>
      <c r="T138" s="232">
        <v>480</v>
      </c>
      <c r="U138" s="232"/>
      <c r="V138" s="232"/>
      <c r="W138" s="232"/>
      <c r="X138" s="232"/>
      <c r="Y138" s="232"/>
      <c r="Z138" s="232"/>
      <c r="AA138" s="232"/>
      <c r="AB138" s="232"/>
      <c r="AC138" s="232"/>
      <c r="AD138" s="232"/>
      <c r="AE138" s="232"/>
      <c r="AF138" s="232"/>
      <c r="AG138" s="232"/>
      <c r="AH138" s="232"/>
      <c r="AI138" s="232"/>
      <c r="AJ138" s="232"/>
      <c r="AK138" s="20">
        <f t="shared" si="34"/>
        <v>480</v>
      </c>
      <c r="AL138" s="60">
        <f t="shared" si="28"/>
        <v>0</v>
      </c>
      <c r="AM138" s="60">
        <f t="shared" si="29"/>
        <v>0</v>
      </c>
      <c r="AN138" s="60" t="str">
        <f t="shared" si="31"/>
        <v>0</v>
      </c>
      <c r="AO138" s="60">
        <f t="shared" si="32"/>
        <v>0</v>
      </c>
      <c r="AP138" s="251"/>
    </row>
    <row r="139" spans="1:42" s="7" customFormat="1" ht="13.5" thickBot="1" x14ac:dyDescent="0.25">
      <c r="A139" s="394"/>
      <c r="B139" s="397"/>
      <c r="C139" s="8" t="s">
        <v>23</v>
      </c>
      <c r="D139" s="69" t="s">
        <v>51</v>
      </c>
      <c r="E139" s="266">
        <v>1800</v>
      </c>
      <c r="F139" s="229">
        <v>1239</v>
      </c>
      <c r="G139" s="250"/>
      <c r="H139" s="263">
        <v>480</v>
      </c>
      <c r="I139" s="11">
        <f t="shared" si="46"/>
        <v>120</v>
      </c>
      <c r="J139" s="29">
        <f t="shared" si="47"/>
        <v>330</v>
      </c>
      <c r="K139" s="232"/>
      <c r="L139" s="232"/>
      <c r="M139" s="232"/>
      <c r="N139" s="232"/>
      <c r="O139" s="232"/>
      <c r="P139" s="232"/>
      <c r="Q139" s="232"/>
      <c r="R139" s="232"/>
      <c r="S139" s="232">
        <v>50</v>
      </c>
      <c r="T139" s="232"/>
      <c r="U139" s="232"/>
      <c r="V139" s="232"/>
      <c r="W139" s="232"/>
      <c r="X139" s="232"/>
      <c r="Y139" s="232">
        <v>40</v>
      </c>
      <c r="Z139" s="232"/>
      <c r="AA139" s="232"/>
      <c r="AB139" s="232"/>
      <c r="AC139" s="232"/>
      <c r="AD139" s="232"/>
      <c r="AE139" s="232"/>
      <c r="AF139" s="232"/>
      <c r="AG139" s="232">
        <v>60</v>
      </c>
      <c r="AH139" s="232"/>
      <c r="AI139" s="232"/>
      <c r="AJ139" s="232"/>
      <c r="AK139" s="20">
        <f t="shared" si="34"/>
        <v>150</v>
      </c>
      <c r="AL139" s="60">
        <f t="shared" ref="AL139:AL161" si="49">IFERROR(J139/H139,"0")</f>
        <v>0.6875</v>
      </c>
      <c r="AM139" s="60">
        <f t="shared" ref="AM139:AM161" si="50">IFERROR(F139/E139,"0")</f>
        <v>0.68833333333333335</v>
      </c>
      <c r="AN139" s="60">
        <f t="shared" si="31"/>
        <v>1</v>
      </c>
      <c r="AO139" s="60">
        <f t="shared" si="32"/>
        <v>0.4732291666666667</v>
      </c>
      <c r="AP139" s="251"/>
    </row>
    <row r="140" spans="1:42" s="7" customFormat="1" ht="13.5" thickBot="1" x14ac:dyDescent="0.25">
      <c r="A140" s="394"/>
      <c r="B140" s="397"/>
      <c r="C140" s="46" t="s">
        <v>23</v>
      </c>
      <c r="D140" s="71" t="s">
        <v>98</v>
      </c>
      <c r="E140" s="268">
        <v>1500</v>
      </c>
      <c r="F140" s="229">
        <v>167</v>
      </c>
      <c r="G140" s="250"/>
      <c r="H140" s="263">
        <v>480</v>
      </c>
      <c r="I140" s="11">
        <f t="shared" si="46"/>
        <v>120</v>
      </c>
      <c r="J140" s="48">
        <f t="shared" si="47"/>
        <v>55</v>
      </c>
      <c r="K140" s="232"/>
      <c r="L140" s="232"/>
      <c r="M140" s="232"/>
      <c r="N140" s="232"/>
      <c r="O140" s="232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  <c r="AA140" s="232">
        <v>400</v>
      </c>
      <c r="AB140" s="232"/>
      <c r="AC140" s="232">
        <v>25</v>
      </c>
      <c r="AD140" s="232"/>
      <c r="AE140" s="232"/>
      <c r="AF140" s="232"/>
      <c r="AG140" s="232"/>
      <c r="AH140" s="232"/>
      <c r="AI140" s="232"/>
      <c r="AJ140" s="232"/>
      <c r="AK140" s="65">
        <f t="shared" si="34"/>
        <v>425</v>
      </c>
      <c r="AL140" s="60">
        <f t="shared" si="49"/>
        <v>0.11458333333333333</v>
      </c>
      <c r="AM140" s="60">
        <f t="shared" si="50"/>
        <v>0.11133333333333334</v>
      </c>
      <c r="AN140" s="60">
        <f t="shared" si="31"/>
        <v>1</v>
      </c>
      <c r="AO140" s="60">
        <f t="shared" si="32"/>
        <v>1.2756944444444444E-2</v>
      </c>
      <c r="AP140" s="251"/>
    </row>
    <row r="141" spans="1:42" s="7" customFormat="1" ht="13.5" thickBot="1" x14ac:dyDescent="0.25">
      <c r="A141" s="395"/>
      <c r="B141" s="398"/>
      <c r="C141" s="54" t="s">
        <v>23</v>
      </c>
      <c r="D141" s="72" t="s">
        <v>50</v>
      </c>
      <c r="E141" s="270">
        <v>1100</v>
      </c>
      <c r="F141" s="235">
        <v>1000</v>
      </c>
      <c r="G141" s="255"/>
      <c r="H141" s="263">
        <v>480</v>
      </c>
      <c r="I141" s="40">
        <f t="shared" si="46"/>
        <v>120</v>
      </c>
      <c r="J141" s="56">
        <f t="shared" si="47"/>
        <v>435</v>
      </c>
      <c r="K141" s="238"/>
      <c r="L141" s="238"/>
      <c r="M141" s="238"/>
      <c r="N141" s="238"/>
      <c r="O141" s="238"/>
      <c r="P141" s="238"/>
      <c r="Q141" s="238"/>
      <c r="R141" s="238"/>
      <c r="S141" s="238"/>
      <c r="T141" s="238"/>
      <c r="U141" s="238"/>
      <c r="V141" s="238"/>
      <c r="W141" s="238"/>
      <c r="X141" s="238"/>
      <c r="Y141" s="238"/>
      <c r="Z141" s="238"/>
      <c r="AA141" s="238">
        <v>20</v>
      </c>
      <c r="AB141" s="238"/>
      <c r="AC141" s="238">
        <v>25</v>
      </c>
      <c r="AD141" s="238"/>
      <c r="AE141" s="238"/>
      <c r="AF141" s="238"/>
      <c r="AG141" s="238"/>
      <c r="AH141" s="238"/>
      <c r="AI141" s="238"/>
      <c r="AJ141" s="238"/>
      <c r="AK141" s="66">
        <f t="shared" si="34"/>
        <v>45</v>
      </c>
      <c r="AL141" s="67">
        <f t="shared" si="49"/>
        <v>0.90625</v>
      </c>
      <c r="AM141" s="67">
        <f t="shared" si="50"/>
        <v>0.90909090909090906</v>
      </c>
      <c r="AN141" s="67">
        <f t="shared" si="31"/>
        <v>1</v>
      </c>
      <c r="AO141" s="67">
        <f t="shared" si="32"/>
        <v>0.82386363636363635</v>
      </c>
      <c r="AP141" s="256"/>
    </row>
    <row r="142" spans="1:42" s="7" customFormat="1" ht="13.5" thickBot="1" x14ac:dyDescent="0.25">
      <c r="A142" s="393">
        <f t="shared" ref="A142" si="51">A137+1</f>
        <v>46050</v>
      </c>
      <c r="B142" s="396">
        <f t="shared" si="36"/>
        <v>46050</v>
      </c>
      <c r="C142" s="50" t="s">
        <v>23</v>
      </c>
      <c r="D142" s="68" t="s">
        <v>99</v>
      </c>
      <c r="E142" s="262">
        <v>2500</v>
      </c>
      <c r="F142" s="223">
        <v>1720</v>
      </c>
      <c r="G142" s="249">
        <v>8</v>
      </c>
      <c r="H142" s="263">
        <v>480</v>
      </c>
      <c r="I142" s="51">
        <f t="shared" si="46"/>
        <v>120</v>
      </c>
      <c r="J142" s="52">
        <f t="shared" si="47"/>
        <v>330</v>
      </c>
      <c r="K142" s="226"/>
      <c r="L142" s="226"/>
      <c r="M142" s="226"/>
      <c r="N142" s="226"/>
      <c r="O142" s="226">
        <v>60</v>
      </c>
      <c r="P142" s="226"/>
      <c r="Q142" s="226"/>
      <c r="R142" s="226"/>
      <c r="S142" s="226">
        <v>50</v>
      </c>
      <c r="T142" s="226"/>
      <c r="U142" s="226"/>
      <c r="V142" s="226"/>
      <c r="W142" s="226"/>
      <c r="X142" s="226">
        <v>20</v>
      </c>
      <c r="Y142" s="226"/>
      <c r="Z142" s="226"/>
      <c r="AA142" s="226"/>
      <c r="AB142" s="226"/>
      <c r="AC142" s="226">
        <v>20</v>
      </c>
      <c r="AD142" s="226"/>
      <c r="AE142" s="226"/>
      <c r="AF142" s="226"/>
      <c r="AG142" s="226"/>
      <c r="AH142" s="226"/>
      <c r="AI142" s="226"/>
      <c r="AJ142" s="226"/>
      <c r="AK142" s="64">
        <f t="shared" si="34"/>
        <v>150</v>
      </c>
      <c r="AL142" s="59">
        <f t="shared" si="49"/>
        <v>0.6875</v>
      </c>
      <c r="AM142" s="59">
        <f t="shared" si="50"/>
        <v>0.68799999999999994</v>
      </c>
      <c r="AN142" s="59">
        <f t="shared" ref="AN142:AN161" si="52">IFERROR(F142/(F142+G142),"0")</f>
        <v>0.99537037037037035</v>
      </c>
      <c r="AO142" s="59">
        <f t="shared" ref="AO142:AO161" si="53">IFERROR(AN142*AM142*AL142,"0")</f>
        <v>0.47081018518518514</v>
      </c>
      <c r="AP142" s="243"/>
    </row>
    <row r="143" spans="1:42" s="7" customFormat="1" ht="13.5" thickBot="1" x14ac:dyDescent="0.25">
      <c r="A143" s="394"/>
      <c r="B143" s="397"/>
      <c r="C143" s="46" t="s">
        <v>23</v>
      </c>
      <c r="D143" s="69" t="s">
        <v>48</v>
      </c>
      <c r="E143" s="266">
        <v>2200</v>
      </c>
      <c r="F143" s="229"/>
      <c r="G143" s="250"/>
      <c r="H143" s="263">
        <v>480</v>
      </c>
      <c r="I143" s="11">
        <f t="shared" si="46"/>
        <v>120</v>
      </c>
      <c r="J143" s="48">
        <f t="shared" si="47"/>
        <v>0</v>
      </c>
      <c r="K143" s="232"/>
      <c r="L143" s="232"/>
      <c r="M143" s="232"/>
      <c r="N143" s="232"/>
      <c r="O143" s="232"/>
      <c r="P143" s="232"/>
      <c r="Q143" s="232"/>
      <c r="R143" s="232"/>
      <c r="S143" s="232"/>
      <c r="T143" s="232">
        <v>480</v>
      </c>
      <c r="U143" s="232"/>
      <c r="V143" s="232"/>
      <c r="W143" s="232"/>
      <c r="X143" s="232"/>
      <c r="Y143" s="232"/>
      <c r="Z143" s="232"/>
      <c r="AA143" s="232"/>
      <c r="AB143" s="232"/>
      <c r="AC143" s="232"/>
      <c r="AD143" s="232"/>
      <c r="AE143" s="232"/>
      <c r="AF143" s="232"/>
      <c r="AG143" s="232"/>
      <c r="AH143" s="232"/>
      <c r="AI143" s="232"/>
      <c r="AJ143" s="232"/>
      <c r="AK143" s="20">
        <f t="shared" si="34"/>
        <v>480</v>
      </c>
      <c r="AL143" s="60">
        <f t="shared" si="49"/>
        <v>0</v>
      </c>
      <c r="AM143" s="60">
        <f t="shared" si="50"/>
        <v>0</v>
      </c>
      <c r="AN143" s="60" t="str">
        <f t="shared" si="52"/>
        <v>0</v>
      </c>
      <c r="AO143" s="60">
        <f t="shared" si="53"/>
        <v>0</v>
      </c>
      <c r="AP143" s="251"/>
    </row>
    <row r="144" spans="1:42" s="7" customFormat="1" ht="13.5" thickBot="1" x14ac:dyDescent="0.25">
      <c r="A144" s="394"/>
      <c r="B144" s="397"/>
      <c r="C144" s="8" t="s">
        <v>23</v>
      </c>
      <c r="D144" s="69" t="s">
        <v>51</v>
      </c>
      <c r="E144" s="266">
        <v>1800</v>
      </c>
      <c r="F144" s="229">
        <v>1258</v>
      </c>
      <c r="G144" s="250">
        <v>4</v>
      </c>
      <c r="H144" s="263">
        <v>480</v>
      </c>
      <c r="I144" s="11">
        <f t="shared" si="46"/>
        <v>120</v>
      </c>
      <c r="J144" s="29">
        <f t="shared" si="47"/>
        <v>335</v>
      </c>
      <c r="K144" s="232"/>
      <c r="L144" s="232"/>
      <c r="M144" s="232"/>
      <c r="N144" s="232"/>
      <c r="O144" s="232"/>
      <c r="P144" s="232"/>
      <c r="Q144" s="232"/>
      <c r="R144" s="232"/>
      <c r="S144" s="232">
        <v>50</v>
      </c>
      <c r="T144" s="232"/>
      <c r="U144" s="232"/>
      <c r="V144" s="232"/>
      <c r="W144" s="232"/>
      <c r="X144" s="232">
        <v>40</v>
      </c>
      <c r="Y144" s="232"/>
      <c r="Z144" s="232"/>
      <c r="AA144" s="232"/>
      <c r="AB144" s="232"/>
      <c r="AC144" s="232">
        <v>30</v>
      </c>
      <c r="AD144" s="232"/>
      <c r="AE144" s="232"/>
      <c r="AF144" s="232"/>
      <c r="AG144" s="232">
        <v>25</v>
      </c>
      <c r="AH144" s="232"/>
      <c r="AI144" s="232"/>
      <c r="AJ144" s="232"/>
      <c r="AK144" s="20">
        <f t="shared" si="34"/>
        <v>145</v>
      </c>
      <c r="AL144" s="60">
        <f t="shared" si="49"/>
        <v>0.69791666666666663</v>
      </c>
      <c r="AM144" s="60">
        <f t="shared" si="50"/>
        <v>0.69888888888888889</v>
      </c>
      <c r="AN144" s="60">
        <f t="shared" si="52"/>
        <v>0.99683042789223453</v>
      </c>
      <c r="AO144" s="60">
        <f t="shared" si="53"/>
        <v>0.48622019354933377</v>
      </c>
      <c r="AP144" s="251"/>
    </row>
    <row r="145" spans="1:42" s="7" customFormat="1" ht="13.5" thickBot="1" x14ac:dyDescent="0.25">
      <c r="A145" s="394"/>
      <c r="B145" s="397"/>
      <c r="C145" s="46" t="s">
        <v>23</v>
      </c>
      <c r="D145" s="71" t="s">
        <v>98</v>
      </c>
      <c r="E145" s="268">
        <v>1500</v>
      </c>
      <c r="F145" s="229"/>
      <c r="G145" s="250"/>
      <c r="H145" s="263">
        <v>480</v>
      </c>
      <c r="I145" s="11">
        <f t="shared" si="46"/>
        <v>120</v>
      </c>
      <c r="J145" s="48">
        <f t="shared" si="47"/>
        <v>0</v>
      </c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  <c r="AA145" s="232">
        <v>480</v>
      </c>
      <c r="AB145" s="232"/>
      <c r="AC145" s="232"/>
      <c r="AD145" s="232"/>
      <c r="AE145" s="232"/>
      <c r="AF145" s="232"/>
      <c r="AG145" s="232"/>
      <c r="AH145" s="232"/>
      <c r="AI145" s="232"/>
      <c r="AJ145" s="232"/>
      <c r="AK145" s="65">
        <f t="shared" si="34"/>
        <v>480</v>
      </c>
      <c r="AL145" s="60">
        <f t="shared" si="49"/>
        <v>0</v>
      </c>
      <c r="AM145" s="60">
        <f t="shared" si="50"/>
        <v>0</v>
      </c>
      <c r="AN145" s="60" t="str">
        <f t="shared" si="52"/>
        <v>0</v>
      </c>
      <c r="AO145" s="60">
        <f t="shared" si="53"/>
        <v>0</v>
      </c>
      <c r="AP145" s="251"/>
    </row>
    <row r="146" spans="1:42" s="7" customFormat="1" ht="13.5" thickBot="1" x14ac:dyDescent="0.25">
      <c r="A146" s="395"/>
      <c r="B146" s="398"/>
      <c r="C146" s="54" t="s">
        <v>23</v>
      </c>
      <c r="D146" s="72" t="s">
        <v>50</v>
      </c>
      <c r="E146" s="270">
        <v>1100</v>
      </c>
      <c r="F146" s="235">
        <v>1000</v>
      </c>
      <c r="G146" s="255"/>
      <c r="H146" s="263">
        <v>480</v>
      </c>
      <c r="I146" s="40">
        <f t="shared" si="46"/>
        <v>120</v>
      </c>
      <c r="J146" s="56">
        <f t="shared" si="47"/>
        <v>435</v>
      </c>
      <c r="K146" s="238"/>
      <c r="L146" s="238"/>
      <c r="M146" s="238"/>
      <c r="N146" s="238"/>
      <c r="O146" s="238"/>
      <c r="P146" s="238"/>
      <c r="Q146" s="238"/>
      <c r="R146" s="238"/>
      <c r="S146" s="238"/>
      <c r="T146" s="238"/>
      <c r="U146" s="238"/>
      <c r="V146" s="238"/>
      <c r="W146" s="238"/>
      <c r="X146" s="238"/>
      <c r="Y146" s="238"/>
      <c r="Z146" s="238"/>
      <c r="AA146" s="238">
        <v>25</v>
      </c>
      <c r="AB146" s="238"/>
      <c r="AC146" s="238">
        <v>20</v>
      </c>
      <c r="AD146" s="238"/>
      <c r="AE146" s="238"/>
      <c r="AF146" s="238"/>
      <c r="AG146" s="238"/>
      <c r="AH146" s="238"/>
      <c r="AI146" s="238"/>
      <c r="AJ146" s="238"/>
      <c r="AK146" s="66">
        <f t="shared" si="34"/>
        <v>45</v>
      </c>
      <c r="AL146" s="67">
        <f t="shared" si="49"/>
        <v>0.90625</v>
      </c>
      <c r="AM146" s="67">
        <f t="shared" si="50"/>
        <v>0.90909090909090906</v>
      </c>
      <c r="AN146" s="67">
        <f t="shared" si="52"/>
        <v>1</v>
      </c>
      <c r="AO146" s="67">
        <f t="shared" si="53"/>
        <v>0.82386363636363635</v>
      </c>
      <c r="AP146" s="256"/>
    </row>
    <row r="147" spans="1:42" s="7" customFormat="1" ht="13.5" thickBot="1" x14ac:dyDescent="0.25">
      <c r="A147" s="393">
        <f t="shared" ref="A147" si="54">A142+1</f>
        <v>46051</v>
      </c>
      <c r="B147" s="396">
        <f t="shared" si="36"/>
        <v>46051</v>
      </c>
      <c r="C147" s="50" t="s">
        <v>23</v>
      </c>
      <c r="D147" s="68" t="s">
        <v>47</v>
      </c>
      <c r="E147" s="262">
        <v>2500</v>
      </c>
      <c r="F147" s="223"/>
      <c r="G147" s="249"/>
      <c r="H147" s="263">
        <v>480</v>
      </c>
      <c r="I147" s="51">
        <f t="shared" si="46"/>
        <v>120</v>
      </c>
      <c r="J147" s="52">
        <f t="shared" si="47"/>
        <v>0</v>
      </c>
      <c r="K147" s="226"/>
      <c r="L147" s="226"/>
      <c r="M147" s="226">
        <v>480</v>
      </c>
      <c r="N147" s="226"/>
      <c r="O147" s="226"/>
      <c r="P147" s="226"/>
      <c r="Q147" s="226"/>
      <c r="R147" s="226"/>
      <c r="S147" s="226"/>
      <c r="T147" s="226"/>
      <c r="U147" s="226"/>
      <c r="V147" s="226"/>
      <c r="W147" s="226"/>
      <c r="X147" s="226"/>
      <c r="Y147" s="226"/>
      <c r="Z147" s="226"/>
      <c r="AA147" s="226"/>
      <c r="AB147" s="226"/>
      <c r="AC147" s="226"/>
      <c r="AD147" s="226"/>
      <c r="AE147" s="226"/>
      <c r="AF147" s="226"/>
      <c r="AG147" s="226"/>
      <c r="AH147" s="226"/>
      <c r="AI147" s="226"/>
      <c r="AJ147" s="226"/>
      <c r="AK147" s="64">
        <f t="shared" si="34"/>
        <v>480</v>
      </c>
      <c r="AL147" s="59">
        <f t="shared" si="49"/>
        <v>0</v>
      </c>
      <c r="AM147" s="59">
        <f t="shared" si="50"/>
        <v>0</v>
      </c>
      <c r="AN147" s="59" t="str">
        <f t="shared" si="52"/>
        <v>0</v>
      </c>
      <c r="AO147" s="59">
        <f t="shared" si="53"/>
        <v>0</v>
      </c>
      <c r="AP147" s="243"/>
    </row>
    <row r="148" spans="1:42" s="7" customFormat="1" ht="13.5" thickBot="1" x14ac:dyDescent="0.25">
      <c r="A148" s="394"/>
      <c r="B148" s="397"/>
      <c r="C148" s="46" t="s">
        <v>23</v>
      </c>
      <c r="D148" s="69" t="s">
        <v>48</v>
      </c>
      <c r="E148" s="266">
        <v>2200</v>
      </c>
      <c r="F148" s="229"/>
      <c r="G148" s="250"/>
      <c r="H148" s="263">
        <v>480</v>
      </c>
      <c r="I148" s="11">
        <f t="shared" si="46"/>
        <v>120</v>
      </c>
      <c r="J148" s="48">
        <f t="shared" si="47"/>
        <v>0</v>
      </c>
      <c r="K148" s="232"/>
      <c r="L148" s="232"/>
      <c r="M148" s="232">
        <v>480</v>
      </c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  <c r="AA148" s="232"/>
      <c r="AB148" s="232"/>
      <c r="AC148" s="232"/>
      <c r="AD148" s="232"/>
      <c r="AE148" s="232"/>
      <c r="AF148" s="232"/>
      <c r="AG148" s="232"/>
      <c r="AH148" s="232"/>
      <c r="AI148" s="232"/>
      <c r="AJ148" s="232"/>
      <c r="AK148" s="20">
        <f t="shared" ref="AK148:AK161" si="55">SUM(K148:AJ148)</f>
        <v>480</v>
      </c>
      <c r="AL148" s="60">
        <f t="shared" si="49"/>
        <v>0</v>
      </c>
      <c r="AM148" s="60">
        <f t="shared" si="50"/>
        <v>0</v>
      </c>
      <c r="AN148" s="60" t="str">
        <f t="shared" si="52"/>
        <v>0</v>
      </c>
      <c r="AO148" s="60">
        <f t="shared" si="53"/>
        <v>0</v>
      </c>
      <c r="AP148" s="251"/>
    </row>
    <row r="149" spans="1:42" s="7" customFormat="1" ht="13.5" thickBot="1" x14ac:dyDescent="0.25">
      <c r="A149" s="394"/>
      <c r="B149" s="397"/>
      <c r="C149" s="8" t="s">
        <v>23</v>
      </c>
      <c r="D149" s="69" t="s">
        <v>51</v>
      </c>
      <c r="E149" s="266">
        <v>1800</v>
      </c>
      <c r="F149" s="229">
        <v>1289</v>
      </c>
      <c r="G149" s="250"/>
      <c r="H149" s="263">
        <v>480</v>
      </c>
      <c r="I149" s="11">
        <f t="shared" si="46"/>
        <v>120</v>
      </c>
      <c r="J149" s="29">
        <f t="shared" si="47"/>
        <v>340</v>
      </c>
      <c r="K149" s="232"/>
      <c r="L149" s="232"/>
      <c r="M149" s="232"/>
      <c r="N149" s="232"/>
      <c r="O149" s="232"/>
      <c r="P149" s="232"/>
      <c r="Q149" s="232"/>
      <c r="R149" s="232"/>
      <c r="S149" s="232">
        <v>50</v>
      </c>
      <c r="T149" s="232"/>
      <c r="U149" s="232"/>
      <c r="V149" s="232"/>
      <c r="W149" s="232"/>
      <c r="X149" s="232">
        <v>40</v>
      </c>
      <c r="Y149" s="232"/>
      <c r="Z149" s="232"/>
      <c r="AA149" s="232"/>
      <c r="AB149" s="232"/>
      <c r="AC149" s="232">
        <v>30</v>
      </c>
      <c r="AD149" s="232"/>
      <c r="AE149" s="232"/>
      <c r="AF149" s="232"/>
      <c r="AG149" s="232">
        <v>20</v>
      </c>
      <c r="AH149" s="232"/>
      <c r="AI149" s="232"/>
      <c r="AJ149" s="232"/>
      <c r="AK149" s="20">
        <f t="shared" si="55"/>
        <v>140</v>
      </c>
      <c r="AL149" s="60">
        <f t="shared" si="49"/>
        <v>0.70833333333333337</v>
      </c>
      <c r="AM149" s="60">
        <f t="shared" si="50"/>
        <v>0.71611111111111114</v>
      </c>
      <c r="AN149" s="60">
        <f t="shared" si="52"/>
        <v>1</v>
      </c>
      <c r="AO149" s="60">
        <f t="shared" si="53"/>
        <v>0.50724537037037043</v>
      </c>
      <c r="AP149" s="251"/>
    </row>
    <row r="150" spans="1:42" s="7" customFormat="1" ht="13.5" thickBot="1" x14ac:dyDescent="0.25">
      <c r="A150" s="394"/>
      <c r="B150" s="397"/>
      <c r="C150" s="46" t="s">
        <v>23</v>
      </c>
      <c r="D150" s="71" t="s">
        <v>98</v>
      </c>
      <c r="E150" s="268">
        <v>1500</v>
      </c>
      <c r="F150" s="229">
        <v>423</v>
      </c>
      <c r="G150" s="250"/>
      <c r="H150" s="263">
        <v>480</v>
      </c>
      <c r="I150" s="11">
        <f t="shared" si="46"/>
        <v>120</v>
      </c>
      <c r="J150" s="48">
        <f t="shared" si="47"/>
        <v>136</v>
      </c>
      <c r="K150" s="232"/>
      <c r="L150" s="232"/>
      <c r="M150" s="232"/>
      <c r="N150" s="232"/>
      <c r="O150" s="232"/>
      <c r="P150" s="232"/>
      <c r="Q150" s="232"/>
      <c r="R150" s="232"/>
      <c r="S150" s="232"/>
      <c r="T150" s="232">
        <v>314</v>
      </c>
      <c r="U150" s="232"/>
      <c r="V150" s="232"/>
      <c r="W150" s="232"/>
      <c r="X150" s="232"/>
      <c r="Y150" s="232"/>
      <c r="Z150" s="232"/>
      <c r="AA150" s="232"/>
      <c r="AB150" s="232"/>
      <c r="AC150" s="232">
        <v>30</v>
      </c>
      <c r="AD150" s="232"/>
      <c r="AE150" s="232"/>
      <c r="AF150" s="232"/>
      <c r="AG150" s="232"/>
      <c r="AH150" s="232"/>
      <c r="AI150" s="232"/>
      <c r="AJ150" s="232"/>
      <c r="AK150" s="65">
        <f t="shared" si="55"/>
        <v>344</v>
      </c>
      <c r="AL150" s="60">
        <f t="shared" si="49"/>
        <v>0.28333333333333333</v>
      </c>
      <c r="AM150" s="60">
        <f t="shared" si="50"/>
        <v>0.28199999999999997</v>
      </c>
      <c r="AN150" s="60">
        <f t="shared" si="52"/>
        <v>1</v>
      </c>
      <c r="AO150" s="60">
        <f t="shared" si="53"/>
        <v>7.9899999999999985E-2</v>
      </c>
      <c r="AP150" s="251"/>
    </row>
    <row r="151" spans="1:42" s="7" customFormat="1" ht="13.5" thickBot="1" x14ac:dyDescent="0.25">
      <c r="A151" s="395"/>
      <c r="B151" s="398"/>
      <c r="C151" s="54" t="s">
        <v>23</v>
      </c>
      <c r="D151" s="72" t="s">
        <v>50</v>
      </c>
      <c r="E151" s="270">
        <v>1100</v>
      </c>
      <c r="F151" s="235">
        <v>1000</v>
      </c>
      <c r="G151" s="255"/>
      <c r="H151" s="263">
        <v>480</v>
      </c>
      <c r="I151" s="40">
        <f t="shared" si="46"/>
        <v>120</v>
      </c>
      <c r="J151" s="56">
        <f t="shared" si="47"/>
        <v>435</v>
      </c>
      <c r="K151" s="238"/>
      <c r="L151" s="238"/>
      <c r="M151" s="238"/>
      <c r="N151" s="238"/>
      <c r="O151" s="238"/>
      <c r="P151" s="238"/>
      <c r="Q151" s="238"/>
      <c r="R151" s="238"/>
      <c r="S151" s="238"/>
      <c r="T151" s="238"/>
      <c r="U151" s="238"/>
      <c r="V151" s="238"/>
      <c r="W151" s="238"/>
      <c r="X151" s="238"/>
      <c r="Y151" s="238"/>
      <c r="Z151" s="238"/>
      <c r="AA151" s="238">
        <v>25</v>
      </c>
      <c r="AB151" s="238"/>
      <c r="AC151" s="238">
        <v>20</v>
      </c>
      <c r="AD151" s="238"/>
      <c r="AE151" s="238"/>
      <c r="AF151" s="238"/>
      <c r="AG151" s="238"/>
      <c r="AH151" s="238"/>
      <c r="AI151" s="238"/>
      <c r="AJ151" s="238"/>
      <c r="AK151" s="66">
        <f t="shared" si="55"/>
        <v>45</v>
      </c>
      <c r="AL151" s="67">
        <f t="shared" si="49"/>
        <v>0.90625</v>
      </c>
      <c r="AM151" s="67">
        <f t="shared" si="50"/>
        <v>0.90909090909090906</v>
      </c>
      <c r="AN151" s="67">
        <f t="shared" si="52"/>
        <v>1</v>
      </c>
      <c r="AO151" s="67">
        <f t="shared" si="53"/>
        <v>0.82386363636363635</v>
      </c>
      <c r="AP151" s="256"/>
    </row>
    <row r="152" spans="1:42" s="7" customFormat="1" ht="13.5" thickBot="1" x14ac:dyDescent="0.25">
      <c r="A152" s="393">
        <f t="shared" ref="A152" si="56">A147+1</f>
        <v>46052</v>
      </c>
      <c r="B152" s="396">
        <f t="shared" ref="B152:B157" si="57">A152</f>
        <v>46052</v>
      </c>
      <c r="C152" s="50" t="s">
        <v>23</v>
      </c>
      <c r="D152" s="68" t="s">
        <v>99</v>
      </c>
      <c r="E152" s="262">
        <v>2500</v>
      </c>
      <c r="F152" s="223">
        <v>1500</v>
      </c>
      <c r="G152" s="249"/>
      <c r="H152" s="263">
        <v>480</v>
      </c>
      <c r="I152" s="51">
        <f t="shared" si="46"/>
        <v>120</v>
      </c>
      <c r="J152" s="52">
        <f t="shared" si="47"/>
        <v>290</v>
      </c>
      <c r="K152" s="226"/>
      <c r="L152" s="226"/>
      <c r="M152" s="226"/>
      <c r="N152" s="226"/>
      <c r="O152" s="226">
        <v>30</v>
      </c>
      <c r="P152" s="226"/>
      <c r="Q152" s="226"/>
      <c r="R152" s="226"/>
      <c r="S152" s="226"/>
      <c r="T152" s="226">
        <v>160</v>
      </c>
      <c r="U152" s="226"/>
      <c r="V152" s="226"/>
      <c r="W152" s="226"/>
      <c r="X152" s="226"/>
      <c r="Y152" s="226"/>
      <c r="Z152" s="226"/>
      <c r="AA152" s="226"/>
      <c r="AB152" s="226"/>
      <c r="AC152" s="226"/>
      <c r="AD152" s="226"/>
      <c r="AE152" s="226"/>
      <c r="AF152" s="226"/>
      <c r="AG152" s="226"/>
      <c r="AH152" s="226"/>
      <c r="AI152" s="226"/>
      <c r="AJ152" s="226"/>
      <c r="AK152" s="64">
        <f t="shared" si="55"/>
        <v>190</v>
      </c>
      <c r="AL152" s="59">
        <f t="shared" si="49"/>
        <v>0.60416666666666663</v>
      </c>
      <c r="AM152" s="59">
        <f t="shared" si="50"/>
        <v>0.6</v>
      </c>
      <c r="AN152" s="59">
        <f t="shared" si="52"/>
        <v>1</v>
      </c>
      <c r="AO152" s="59">
        <f t="shared" si="53"/>
        <v>0.36249999999999999</v>
      </c>
      <c r="AP152" s="243"/>
    </row>
    <row r="153" spans="1:42" s="7" customFormat="1" ht="13.5" thickBot="1" x14ac:dyDescent="0.25">
      <c r="A153" s="394"/>
      <c r="B153" s="397"/>
      <c r="C153" s="46" t="s">
        <v>23</v>
      </c>
      <c r="D153" s="69" t="s">
        <v>48</v>
      </c>
      <c r="E153" s="266">
        <v>2200</v>
      </c>
      <c r="F153" s="229"/>
      <c r="G153" s="250"/>
      <c r="H153" s="263">
        <v>480</v>
      </c>
      <c r="I153" s="11">
        <f t="shared" si="46"/>
        <v>120</v>
      </c>
      <c r="J153" s="48">
        <f t="shared" si="47"/>
        <v>0</v>
      </c>
      <c r="K153" s="232"/>
      <c r="L153" s="232"/>
      <c r="M153" s="232">
        <v>480</v>
      </c>
      <c r="N153" s="232"/>
      <c r="O153" s="232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  <c r="AA153" s="232"/>
      <c r="AB153" s="232"/>
      <c r="AC153" s="232"/>
      <c r="AD153" s="232"/>
      <c r="AE153" s="232"/>
      <c r="AF153" s="232"/>
      <c r="AG153" s="232"/>
      <c r="AH153" s="232"/>
      <c r="AI153" s="232"/>
      <c r="AJ153" s="232"/>
      <c r="AK153" s="20">
        <f t="shared" si="55"/>
        <v>480</v>
      </c>
      <c r="AL153" s="60">
        <f t="shared" si="49"/>
        <v>0</v>
      </c>
      <c r="AM153" s="60">
        <f t="shared" si="50"/>
        <v>0</v>
      </c>
      <c r="AN153" s="60" t="str">
        <f t="shared" si="52"/>
        <v>0</v>
      </c>
      <c r="AO153" s="60">
        <f t="shared" si="53"/>
        <v>0</v>
      </c>
      <c r="AP153" s="251"/>
    </row>
    <row r="154" spans="1:42" s="7" customFormat="1" ht="13.5" thickBot="1" x14ac:dyDescent="0.25">
      <c r="A154" s="394"/>
      <c r="B154" s="397"/>
      <c r="C154" s="8" t="s">
        <v>23</v>
      </c>
      <c r="D154" s="69" t="s">
        <v>104</v>
      </c>
      <c r="E154" s="266">
        <v>1800</v>
      </c>
      <c r="F154" s="229">
        <v>1269</v>
      </c>
      <c r="G154" s="250"/>
      <c r="H154" s="263">
        <v>480</v>
      </c>
      <c r="I154" s="11">
        <f t="shared" si="46"/>
        <v>120</v>
      </c>
      <c r="J154" s="29">
        <f t="shared" si="47"/>
        <v>335</v>
      </c>
      <c r="K154" s="232"/>
      <c r="L154" s="232"/>
      <c r="M154" s="232"/>
      <c r="N154" s="232"/>
      <c r="O154" s="232"/>
      <c r="P154" s="232"/>
      <c r="Q154" s="232"/>
      <c r="R154" s="232"/>
      <c r="S154" s="232">
        <v>50</v>
      </c>
      <c r="T154" s="232"/>
      <c r="U154" s="232"/>
      <c r="V154" s="232"/>
      <c r="W154" s="232"/>
      <c r="X154" s="232"/>
      <c r="Y154" s="232">
        <v>35</v>
      </c>
      <c r="Z154" s="232"/>
      <c r="AA154" s="232"/>
      <c r="AB154" s="232"/>
      <c r="AC154" s="232">
        <v>30</v>
      </c>
      <c r="AD154" s="232"/>
      <c r="AE154" s="232"/>
      <c r="AF154" s="232"/>
      <c r="AG154" s="232">
        <v>30</v>
      </c>
      <c r="AH154" s="232"/>
      <c r="AI154" s="232"/>
      <c r="AJ154" s="232"/>
      <c r="AK154" s="20">
        <f t="shared" si="55"/>
        <v>145</v>
      </c>
      <c r="AL154" s="60">
        <f t="shared" si="49"/>
        <v>0.69791666666666663</v>
      </c>
      <c r="AM154" s="60">
        <f t="shared" si="50"/>
        <v>0.70499999999999996</v>
      </c>
      <c r="AN154" s="60">
        <f t="shared" si="52"/>
        <v>1</v>
      </c>
      <c r="AO154" s="60">
        <f t="shared" si="53"/>
        <v>0.49203124999999992</v>
      </c>
      <c r="AP154" s="251"/>
    </row>
    <row r="155" spans="1:42" s="7" customFormat="1" ht="13.5" thickBot="1" x14ac:dyDescent="0.25">
      <c r="A155" s="394"/>
      <c r="B155" s="397"/>
      <c r="C155" s="46" t="s">
        <v>23</v>
      </c>
      <c r="D155" s="71" t="s">
        <v>98</v>
      </c>
      <c r="E155" s="268">
        <v>1500</v>
      </c>
      <c r="F155" s="229"/>
      <c r="G155" s="250"/>
      <c r="H155" s="263">
        <v>480</v>
      </c>
      <c r="I155" s="11">
        <f t="shared" si="46"/>
        <v>120</v>
      </c>
      <c r="J155" s="48">
        <f t="shared" si="47"/>
        <v>0</v>
      </c>
      <c r="K155" s="232"/>
      <c r="L155" s="232"/>
      <c r="M155" s="232">
        <v>480</v>
      </c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  <c r="AA155" s="232"/>
      <c r="AB155" s="232"/>
      <c r="AC155" s="232"/>
      <c r="AD155" s="232"/>
      <c r="AE155" s="232"/>
      <c r="AF155" s="232"/>
      <c r="AG155" s="232"/>
      <c r="AH155" s="232"/>
      <c r="AI155" s="232"/>
      <c r="AJ155" s="232"/>
      <c r="AK155" s="65">
        <f t="shared" si="55"/>
        <v>480</v>
      </c>
      <c r="AL155" s="60">
        <f t="shared" si="49"/>
        <v>0</v>
      </c>
      <c r="AM155" s="60">
        <f t="shared" si="50"/>
        <v>0</v>
      </c>
      <c r="AN155" s="60" t="str">
        <f t="shared" si="52"/>
        <v>0</v>
      </c>
      <c r="AO155" s="60">
        <f t="shared" si="53"/>
        <v>0</v>
      </c>
      <c r="AP155" s="251"/>
    </row>
    <row r="156" spans="1:42" s="7" customFormat="1" ht="13.5" thickBot="1" x14ac:dyDescent="0.25">
      <c r="A156" s="395"/>
      <c r="B156" s="398"/>
      <c r="C156" s="54" t="s">
        <v>23</v>
      </c>
      <c r="D156" s="72" t="s">
        <v>50</v>
      </c>
      <c r="E156" s="270">
        <v>1100</v>
      </c>
      <c r="F156" s="235">
        <v>1000</v>
      </c>
      <c r="G156" s="255"/>
      <c r="H156" s="263">
        <v>480</v>
      </c>
      <c r="I156" s="40">
        <f t="shared" si="46"/>
        <v>120</v>
      </c>
      <c r="J156" s="56">
        <f t="shared" si="47"/>
        <v>435</v>
      </c>
      <c r="K156" s="238"/>
      <c r="L156" s="238"/>
      <c r="M156" s="238"/>
      <c r="N156" s="238"/>
      <c r="O156" s="238"/>
      <c r="P156" s="238"/>
      <c r="Q156" s="238"/>
      <c r="R156" s="238"/>
      <c r="S156" s="238"/>
      <c r="T156" s="238"/>
      <c r="U156" s="238"/>
      <c r="V156" s="238"/>
      <c r="W156" s="238"/>
      <c r="X156" s="238"/>
      <c r="Y156" s="238"/>
      <c r="Z156" s="238"/>
      <c r="AA156" s="238">
        <v>25</v>
      </c>
      <c r="AB156" s="238"/>
      <c r="AC156" s="238">
        <v>20</v>
      </c>
      <c r="AD156" s="238"/>
      <c r="AE156" s="238"/>
      <c r="AF156" s="238"/>
      <c r="AG156" s="238"/>
      <c r="AH156" s="238"/>
      <c r="AI156" s="238"/>
      <c r="AJ156" s="238"/>
      <c r="AK156" s="66">
        <f t="shared" si="55"/>
        <v>45</v>
      </c>
      <c r="AL156" s="67">
        <f t="shared" si="49"/>
        <v>0.90625</v>
      </c>
      <c r="AM156" s="67">
        <f t="shared" si="50"/>
        <v>0.90909090909090906</v>
      </c>
      <c r="AN156" s="67">
        <f t="shared" si="52"/>
        <v>1</v>
      </c>
      <c r="AO156" s="67">
        <f t="shared" si="53"/>
        <v>0.82386363636363635</v>
      </c>
      <c r="AP156" s="256"/>
    </row>
    <row r="157" spans="1:42" s="7" customFormat="1" ht="13.5" thickBot="1" x14ac:dyDescent="0.25">
      <c r="A157" s="393">
        <f t="shared" ref="A157" si="58">A152+1</f>
        <v>46053</v>
      </c>
      <c r="B157" s="396">
        <f t="shared" si="57"/>
        <v>46053</v>
      </c>
      <c r="C157" s="50" t="s">
        <v>23</v>
      </c>
      <c r="D157" s="68" t="s">
        <v>47</v>
      </c>
      <c r="E157" s="262">
        <v>2500</v>
      </c>
      <c r="F157" s="223"/>
      <c r="G157" s="249"/>
      <c r="H157" s="263">
        <v>480</v>
      </c>
      <c r="I157" s="51">
        <f t="shared" si="46"/>
        <v>120</v>
      </c>
      <c r="J157" s="52">
        <f t="shared" si="47"/>
        <v>0</v>
      </c>
      <c r="K157" s="226"/>
      <c r="L157" s="226"/>
      <c r="M157" s="226">
        <v>480</v>
      </c>
      <c r="N157" s="226"/>
      <c r="O157" s="226"/>
      <c r="P157" s="226"/>
      <c r="Q157" s="226"/>
      <c r="R157" s="226"/>
      <c r="S157" s="226"/>
      <c r="T157" s="226"/>
      <c r="U157" s="226"/>
      <c r="V157" s="226"/>
      <c r="W157" s="226"/>
      <c r="X157" s="226"/>
      <c r="Y157" s="226"/>
      <c r="Z157" s="226"/>
      <c r="AA157" s="226"/>
      <c r="AB157" s="226"/>
      <c r="AC157" s="226"/>
      <c r="AD157" s="226"/>
      <c r="AE157" s="226"/>
      <c r="AF157" s="226"/>
      <c r="AG157" s="226"/>
      <c r="AH157" s="226"/>
      <c r="AI157" s="226"/>
      <c r="AJ157" s="226"/>
      <c r="AK157" s="64">
        <f t="shared" si="55"/>
        <v>480</v>
      </c>
      <c r="AL157" s="59">
        <f t="shared" si="49"/>
        <v>0</v>
      </c>
      <c r="AM157" s="59">
        <f t="shared" si="50"/>
        <v>0</v>
      </c>
      <c r="AN157" s="59" t="str">
        <f t="shared" si="52"/>
        <v>0</v>
      </c>
      <c r="AO157" s="59">
        <f t="shared" si="53"/>
        <v>0</v>
      </c>
      <c r="AP157" s="243"/>
    </row>
    <row r="158" spans="1:42" s="7" customFormat="1" ht="13.5" thickBot="1" x14ac:dyDescent="0.25">
      <c r="A158" s="394"/>
      <c r="B158" s="397"/>
      <c r="C158" s="46" t="s">
        <v>23</v>
      </c>
      <c r="D158" s="69" t="s">
        <v>48</v>
      </c>
      <c r="E158" s="266">
        <v>2200</v>
      </c>
      <c r="F158" s="229"/>
      <c r="G158" s="250"/>
      <c r="H158" s="263">
        <v>480</v>
      </c>
      <c r="I158" s="11">
        <f t="shared" si="46"/>
        <v>120</v>
      </c>
      <c r="J158" s="48">
        <f t="shared" si="47"/>
        <v>0</v>
      </c>
      <c r="K158" s="232"/>
      <c r="L158" s="232"/>
      <c r="M158" s="232">
        <v>480</v>
      </c>
      <c r="N158" s="232"/>
      <c r="O158" s="232"/>
      <c r="P158" s="232"/>
      <c r="Q158" s="232"/>
      <c r="R158" s="232"/>
      <c r="S158" s="232"/>
      <c r="T158" s="232"/>
      <c r="U158" s="232"/>
      <c r="V158" s="232"/>
      <c r="W158" s="232"/>
      <c r="X158" s="232"/>
      <c r="Y158" s="232"/>
      <c r="Z158" s="232"/>
      <c r="AA158" s="232"/>
      <c r="AB158" s="232"/>
      <c r="AC158" s="232"/>
      <c r="AD158" s="232"/>
      <c r="AE158" s="232"/>
      <c r="AF158" s="232"/>
      <c r="AG158" s="232"/>
      <c r="AH158" s="232"/>
      <c r="AI158" s="232"/>
      <c r="AJ158" s="232"/>
      <c r="AK158" s="20">
        <f t="shared" si="55"/>
        <v>480</v>
      </c>
      <c r="AL158" s="60">
        <f t="shared" si="49"/>
        <v>0</v>
      </c>
      <c r="AM158" s="60">
        <f t="shared" si="50"/>
        <v>0</v>
      </c>
      <c r="AN158" s="60" t="str">
        <f t="shared" si="52"/>
        <v>0</v>
      </c>
      <c r="AO158" s="60">
        <f t="shared" si="53"/>
        <v>0</v>
      </c>
      <c r="AP158" s="251"/>
    </row>
    <row r="159" spans="1:42" s="7" customFormat="1" ht="13.5" thickBot="1" x14ac:dyDescent="0.25">
      <c r="A159" s="394"/>
      <c r="B159" s="397"/>
      <c r="C159" s="8" t="s">
        <v>23</v>
      </c>
      <c r="D159" s="69" t="s">
        <v>51</v>
      </c>
      <c r="E159" s="266">
        <v>1800</v>
      </c>
      <c r="F159" s="229">
        <v>1255</v>
      </c>
      <c r="G159" s="250"/>
      <c r="H159" s="263">
        <v>480</v>
      </c>
      <c r="I159" s="11">
        <f t="shared" si="46"/>
        <v>120</v>
      </c>
      <c r="J159" s="29">
        <f t="shared" si="47"/>
        <v>335</v>
      </c>
      <c r="K159" s="232"/>
      <c r="L159" s="232"/>
      <c r="M159" s="232"/>
      <c r="N159" s="232"/>
      <c r="O159" s="232"/>
      <c r="P159" s="232"/>
      <c r="Q159" s="232"/>
      <c r="R159" s="232"/>
      <c r="S159" s="232">
        <v>50</v>
      </c>
      <c r="T159" s="232"/>
      <c r="U159" s="232"/>
      <c r="V159" s="232"/>
      <c r="W159" s="232"/>
      <c r="X159" s="232"/>
      <c r="Y159" s="232"/>
      <c r="Z159" s="232">
        <v>40</v>
      </c>
      <c r="AA159" s="232"/>
      <c r="AB159" s="232"/>
      <c r="AC159" s="232">
        <v>30</v>
      </c>
      <c r="AD159" s="232"/>
      <c r="AE159" s="232"/>
      <c r="AF159" s="232"/>
      <c r="AG159" s="232">
        <v>25</v>
      </c>
      <c r="AH159" s="232"/>
      <c r="AI159" s="232"/>
      <c r="AJ159" s="232"/>
      <c r="AK159" s="20">
        <f t="shared" si="55"/>
        <v>145</v>
      </c>
      <c r="AL159" s="60">
        <f t="shared" si="49"/>
        <v>0.69791666666666663</v>
      </c>
      <c r="AM159" s="60">
        <f t="shared" si="50"/>
        <v>0.69722222222222219</v>
      </c>
      <c r="AN159" s="60">
        <f t="shared" si="52"/>
        <v>1</v>
      </c>
      <c r="AO159" s="60">
        <f t="shared" si="53"/>
        <v>0.4866030092592592</v>
      </c>
      <c r="AP159" s="251"/>
    </row>
    <row r="160" spans="1:42" s="7" customFormat="1" ht="13.5" thickBot="1" x14ac:dyDescent="0.25">
      <c r="A160" s="394"/>
      <c r="B160" s="397"/>
      <c r="C160" s="46" t="s">
        <v>23</v>
      </c>
      <c r="D160" s="71" t="s">
        <v>98</v>
      </c>
      <c r="E160" s="268">
        <v>1500</v>
      </c>
      <c r="F160" s="229"/>
      <c r="G160" s="250"/>
      <c r="H160" s="263">
        <v>480</v>
      </c>
      <c r="I160" s="11">
        <f t="shared" si="46"/>
        <v>120</v>
      </c>
      <c r="J160" s="48">
        <f t="shared" si="47"/>
        <v>0</v>
      </c>
      <c r="K160" s="232"/>
      <c r="L160" s="232"/>
      <c r="M160" s="232">
        <v>480</v>
      </c>
      <c r="N160" s="232"/>
      <c r="O160" s="232"/>
      <c r="P160" s="232"/>
      <c r="Q160" s="232"/>
      <c r="R160" s="232"/>
      <c r="S160" s="232"/>
      <c r="T160" s="232"/>
      <c r="U160" s="232"/>
      <c r="V160" s="232"/>
      <c r="W160" s="232"/>
      <c r="X160" s="232"/>
      <c r="Y160" s="232"/>
      <c r="Z160" s="232"/>
      <c r="AA160" s="232"/>
      <c r="AB160" s="232"/>
      <c r="AC160" s="232"/>
      <c r="AD160" s="232"/>
      <c r="AE160" s="232"/>
      <c r="AF160" s="232"/>
      <c r="AG160" s="232"/>
      <c r="AH160" s="232"/>
      <c r="AI160" s="232"/>
      <c r="AJ160" s="232"/>
      <c r="AK160" s="65">
        <f t="shared" si="55"/>
        <v>480</v>
      </c>
      <c r="AL160" s="60">
        <f t="shared" si="49"/>
        <v>0</v>
      </c>
      <c r="AM160" s="60">
        <f t="shared" si="50"/>
        <v>0</v>
      </c>
      <c r="AN160" s="60" t="str">
        <f t="shared" si="52"/>
        <v>0</v>
      </c>
      <c r="AO160" s="60">
        <f t="shared" si="53"/>
        <v>0</v>
      </c>
      <c r="AP160" s="251"/>
    </row>
    <row r="161" spans="1:42" s="7" customFormat="1" ht="13.5" thickBot="1" x14ac:dyDescent="0.25">
      <c r="A161" s="395"/>
      <c r="B161" s="398"/>
      <c r="C161" s="54" t="s">
        <v>23</v>
      </c>
      <c r="D161" s="72" t="s">
        <v>50</v>
      </c>
      <c r="E161" s="270">
        <v>1100</v>
      </c>
      <c r="F161" s="235">
        <v>1000</v>
      </c>
      <c r="G161" s="255"/>
      <c r="H161" s="263">
        <v>480</v>
      </c>
      <c r="I161" s="40">
        <f t="shared" si="46"/>
        <v>120</v>
      </c>
      <c r="J161" s="56">
        <f t="shared" si="47"/>
        <v>435</v>
      </c>
      <c r="K161" s="238"/>
      <c r="L161" s="238"/>
      <c r="M161" s="238"/>
      <c r="N161" s="238"/>
      <c r="O161" s="238"/>
      <c r="P161" s="238"/>
      <c r="Q161" s="238"/>
      <c r="R161" s="238"/>
      <c r="S161" s="238"/>
      <c r="T161" s="238"/>
      <c r="U161" s="238"/>
      <c r="V161" s="238"/>
      <c r="W161" s="238"/>
      <c r="X161" s="238"/>
      <c r="Y161" s="238"/>
      <c r="Z161" s="238"/>
      <c r="AA161" s="238"/>
      <c r="AB161" s="238"/>
      <c r="AC161" s="238">
        <v>30</v>
      </c>
      <c r="AD161" s="238"/>
      <c r="AE161" s="238"/>
      <c r="AF161" s="238"/>
      <c r="AG161" s="238">
        <v>15</v>
      </c>
      <c r="AH161" s="238"/>
      <c r="AI161" s="238"/>
      <c r="AJ161" s="238"/>
      <c r="AK161" s="66">
        <f t="shared" si="55"/>
        <v>45</v>
      </c>
      <c r="AL161" s="67">
        <f t="shared" si="49"/>
        <v>0.90625</v>
      </c>
      <c r="AM161" s="67">
        <f t="shared" si="50"/>
        <v>0.90909090909090906</v>
      </c>
      <c r="AN161" s="67">
        <f t="shared" si="52"/>
        <v>1</v>
      </c>
      <c r="AO161" s="67">
        <f t="shared" si="53"/>
        <v>0.82386363636363635</v>
      </c>
      <c r="AP161" s="256"/>
    </row>
    <row r="162" spans="1:42" s="12" customFormat="1" ht="14.25" x14ac:dyDescent="0.25">
      <c r="A162" s="313" t="s">
        <v>34</v>
      </c>
      <c r="B162" s="314"/>
      <c r="C162" s="314"/>
      <c r="D162" s="315"/>
      <c r="E162" s="23">
        <f>SUM(E6:E161)</f>
        <v>342100</v>
      </c>
      <c r="F162" s="23">
        <f t="shared" ref="F162:AJ162" si="59">SUM(F6:F161)</f>
        <v>169367</v>
      </c>
      <c r="G162" s="23">
        <f>SUM(G6:G161)</f>
        <v>218</v>
      </c>
      <c r="H162" s="23">
        <f t="shared" si="59"/>
        <v>96660</v>
      </c>
      <c r="I162" s="23">
        <f t="shared" si="59"/>
        <v>17400</v>
      </c>
      <c r="J162" s="23">
        <f t="shared" si="59"/>
        <v>54923</v>
      </c>
      <c r="K162" s="23">
        <f t="shared" si="59"/>
        <v>0</v>
      </c>
      <c r="L162" s="23">
        <f t="shared" si="59"/>
        <v>0</v>
      </c>
      <c r="M162" s="23">
        <f t="shared" si="59"/>
        <v>21211</v>
      </c>
      <c r="N162" s="23">
        <f t="shared" si="59"/>
        <v>5775</v>
      </c>
      <c r="O162" s="23">
        <f t="shared" si="59"/>
        <v>210</v>
      </c>
      <c r="P162" s="23">
        <f t="shared" si="59"/>
        <v>25</v>
      </c>
      <c r="Q162" s="23">
        <f t="shared" si="59"/>
        <v>0</v>
      </c>
      <c r="R162" s="23">
        <f t="shared" si="59"/>
        <v>0</v>
      </c>
      <c r="S162" s="23">
        <f t="shared" si="59"/>
        <v>1355</v>
      </c>
      <c r="T162" s="23">
        <f t="shared" si="59"/>
        <v>5284</v>
      </c>
      <c r="U162" s="23">
        <f t="shared" si="59"/>
        <v>0</v>
      </c>
      <c r="V162" s="23">
        <f t="shared" si="59"/>
        <v>0</v>
      </c>
      <c r="W162" s="23">
        <f t="shared" si="59"/>
        <v>0</v>
      </c>
      <c r="X162" s="23">
        <f t="shared" si="59"/>
        <v>140</v>
      </c>
      <c r="Y162" s="23">
        <f>SUM(Y6:Y161)</f>
        <v>1005</v>
      </c>
      <c r="Z162" s="23">
        <f>SUM(Z6:Z161)</f>
        <v>40</v>
      </c>
      <c r="AA162" s="23">
        <f>SUM(AA6:AA161)</f>
        <v>3075</v>
      </c>
      <c r="AB162" s="23">
        <f t="shared" si="59"/>
        <v>53</v>
      </c>
      <c r="AC162" s="23">
        <f t="shared" si="59"/>
        <v>2321</v>
      </c>
      <c r="AD162" s="23">
        <f t="shared" si="59"/>
        <v>0</v>
      </c>
      <c r="AE162" s="23">
        <f t="shared" si="59"/>
        <v>0</v>
      </c>
      <c r="AF162" s="23">
        <f t="shared" si="59"/>
        <v>0</v>
      </c>
      <c r="AG162" s="23">
        <f t="shared" si="59"/>
        <v>583</v>
      </c>
      <c r="AH162" s="23">
        <f t="shared" si="59"/>
        <v>0</v>
      </c>
      <c r="AI162" s="23">
        <f t="shared" si="59"/>
        <v>0</v>
      </c>
      <c r="AJ162" s="23">
        <f t="shared" si="59"/>
        <v>0</v>
      </c>
      <c r="AK162" s="23">
        <f>SUM(AK6:AK161)</f>
        <v>41077</v>
      </c>
      <c r="AL162" s="24">
        <f>IFERROR(J162/H162,0)</f>
        <v>0.56820815228636457</v>
      </c>
      <c r="AM162" s="24">
        <f>IFERROR(F162/E162,0)</f>
        <v>0.49508038585209002</v>
      </c>
      <c r="AN162" s="24">
        <f>IFERROR(F162/(F162+G162),0)</f>
        <v>0.99871450894831504</v>
      </c>
      <c r="AO162" s="24">
        <f>IFERROR(AN162*AM162*AL162,0)</f>
        <v>0.28094709144712732</v>
      </c>
      <c r="AP162" s="27"/>
    </row>
    <row r="166" spans="1:42" x14ac:dyDescent="0.25">
      <c r="AL166" s="15"/>
      <c r="AM166" s="15"/>
      <c r="AN166" s="15"/>
    </row>
  </sheetData>
  <mergeCells count="65">
    <mergeCell ref="A157:A161"/>
    <mergeCell ref="B157:B161"/>
    <mergeCell ref="B142:B146"/>
    <mergeCell ref="A147:A151"/>
    <mergeCell ref="B147:B151"/>
    <mergeCell ref="A152:A156"/>
    <mergeCell ref="B152:B156"/>
    <mergeCell ref="A96:A100"/>
    <mergeCell ref="B96:B100"/>
    <mergeCell ref="A101:A105"/>
    <mergeCell ref="B101:B105"/>
    <mergeCell ref="A106:A110"/>
    <mergeCell ref="B106:B110"/>
    <mergeCell ref="A81:A85"/>
    <mergeCell ref="B81:B85"/>
    <mergeCell ref="A86:A90"/>
    <mergeCell ref="B86:B90"/>
    <mergeCell ref="A91:A95"/>
    <mergeCell ref="B91:B95"/>
    <mergeCell ref="A66:A70"/>
    <mergeCell ref="B66:B70"/>
    <mergeCell ref="A71:A75"/>
    <mergeCell ref="B71:B75"/>
    <mergeCell ref="A76:A80"/>
    <mergeCell ref="B76:B80"/>
    <mergeCell ref="A51:A55"/>
    <mergeCell ref="B51:B55"/>
    <mergeCell ref="A56:A60"/>
    <mergeCell ref="B56:B60"/>
    <mergeCell ref="A61:A65"/>
    <mergeCell ref="B61:B65"/>
    <mergeCell ref="A36:A40"/>
    <mergeCell ref="B36:B40"/>
    <mergeCell ref="A41:A45"/>
    <mergeCell ref="B41:B45"/>
    <mergeCell ref="A46:A50"/>
    <mergeCell ref="B46:B50"/>
    <mergeCell ref="A21:A25"/>
    <mergeCell ref="B21:B25"/>
    <mergeCell ref="A26:A30"/>
    <mergeCell ref="B26:B30"/>
    <mergeCell ref="A31:A35"/>
    <mergeCell ref="B31:B35"/>
    <mergeCell ref="A6:A10"/>
    <mergeCell ref="B6:B10"/>
    <mergeCell ref="A11:A15"/>
    <mergeCell ref="B11:B15"/>
    <mergeCell ref="A16:A20"/>
    <mergeCell ref="B16:B20"/>
    <mergeCell ref="A1:AP1"/>
    <mergeCell ref="A2:AP2"/>
    <mergeCell ref="A162:D162"/>
    <mergeCell ref="A112:A116"/>
    <mergeCell ref="B112:B116"/>
    <mergeCell ref="A117:A121"/>
    <mergeCell ref="B117:B121"/>
    <mergeCell ref="A122:A126"/>
    <mergeCell ref="B122:B126"/>
    <mergeCell ref="A127:A131"/>
    <mergeCell ref="B127:B131"/>
    <mergeCell ref="A132:A136"/>
    <mergeCell ref="B132:B136"/>
    <mergeCell ref="A137:A141"/>
    <mergeCell ref="B137:B141"/>
    <mergeCell ref="A142:A146"/>
  </mergeCells>
  <conditionalFormatting sqref="A6:C6 J6:AJ11 AK6:AP161 C7:C10 I7:I10 A11:B11 C11:D161 F11:G161 I12:AJ15 A16:B16 J16:AJ16 I17:AJ20 A21:B21 J21:AJ21 I22:AJ25 A26:B26 J26:AJ26 I27:AJ30 A31:B31 J31:AJ31 I32:AJ35 A36:B36 J36:AJ36 I37:AJ40 A41:B41 J41:AJ41 I42:AJ45 A46:B46 J46:AJ46 I47:AJ50 A51:B51 J51:AJ51 I52:AJ55 A56:B56 J56:AJ56 I57:AJ60 A61:B61 J61:AJ61 I62:AJ65 A66:B66 J66:AJ66 I67:AJ70 A71:B71 J71:AJ71 I72:AJ75 A76:B76 J76:AJ76 I77:AJ80 A81:B81 J81:AJ81 I82:AJ85 A86:B86 J86:AJ86 I87:AJ90 A91:B91 J91:AJ91 I92:AJ95 A96:B96 J96:AJ96 I97:AJ100 A101:B101 J101:AJ101 I102:AJ105 A106:B106 J106:AJ106 I107:AJ111 I116:AJ116 A117:B117 J117:AJ117 I118:AJ121 A122:B122 J122:AJ122 I123:AJ123 I124:M126 O124:AJ126 A127:B127 J127:AJ127 I128:AJ131 A132:B132 J132:AJ132 I133:AJ136 A137:B137 J137:AJ137 I138:AJ141 A142:B142 J142:AJ142 I143:AJ146 A147:B147 J147:AJ147 I148:AJ151 A152:B152 J152:AJ152 I153:AJ156 A157:B157 J157:AJ157 I158:AJ161 A112:B112 I113:AJ113 W114 I114:V115 X114:AJ115">
    <cfRule type="expression" dxfId="58" priority="13">
      <formula>TEXT($A6,"ddd")="Fri"</formula>
    </cfRule>
  </conditionalFormatting>
  <conditionalFormatting sqref="A112:D115 F112:G115">
    <cfRule type="expression" dxfId="57" priority="26">
      <formula>TEXT($A107,"ddd")="Fri"</formula>
    </cfRule>
  </conditionalFormatting>
  <conditionalFormatting sqref="A114:D115 F114:G115">
    <cfRule type="expression" dxfId="56" priority="27">
      <formula>TEXT($A112,"ddd")="Fri"</formula>
    </cfRule>
  </conditionalFormatting>
  <conditionalFormatting sqref="A115:D115 F115:G115">
    <cfRule type="expression" dxfId="55" priority="30">
      <formula>TEXT($A112,"ddd")="Fri"</formula>
    </cfRule>
  </conditionalFormatting>
  <conditionalFormatting sqref="A162:AP162">
    <cfRule type="expression" dxfId="54" priority="1">
      <formula>TEXT($A158,"ddd")="Fri"</formula>
    </cfRule>
    <cfRule type="expression" dxfId="53" priority="2">
      <formula>TEXT($A160,"ddd")="Fri"</formula>
    </cfRule>
    <cfRule type="expression" dxfId="52" priority="3">
      <formula>TEXT($A159,"ddd")="Fri"</formula>
    </cfRule>
    <cfRule type="expression" dxfId="51" priority="4">
      <formula>TEXT($A161,"ddd")="Fri"</formula>
    </cfRule>
  </conditionalFormatting>
  <conditionalFormatting sqref="I115:V115 X115:AP115">
    <cfRule type="expression" dxfId="50" priority="31">
      <formula>TEXT($A114,"ddd")="Fri"</formula>
    </cfRule>
  </conditionalFormatting>
  <conditionalFormatting sqref="I6:AP111 I116:AP123 A6:C10 A11:D111 F11:G111 A116:D161 F116:G161 I124:M126 O124:AP126 I127:AP161">
    <cfRule type="expression" dxfId="49" priority="9">
      <formula>TEXT($A2,"ddd")="Fri"</formula>
    </cfRule>
    <cfRule type="expression" dxfId="48" priority="10">
      <formula>TEXT($A4,"ddd")="Fri"</formula>
    </cfRule>
    <cfRule type="expression" dxfId="47" priority="11">
      <formula>TEXT($A3,"ddd")="Fri"</formula>
    </cfRule>
    <cfRule type="expression" dxfId="46" priority="12">
      <formula>TEXT($A5,"ddd")="Fri"</formula>
    </cfRule>
  </conditionalFormatting>
  <conditionalFormatting sqref="I112:AP112 A112:D112 F112:G112">
    <cfRule type="expression" dxfId="45" priority="33">
      <formula>TEXT($A110,"ddd")="Fri"</formula>
    </cfRule>
  </conditionalFormatting>
  <conditionalFormatting sqref="I112:AP113 A112:D113 F112:G113">
    <cfRule type="expression" dxfId="44" priority="32">
      <formula>TEXT($A109,"ddd")="Fri"</formula>
    </cfRule>
  </conditionalFormatting>
  <conditionalFormatting sqref="I112:AP114 A112:D114 F112:G114">
    <cfRule type="expression" dxfId="43" priority="28">
      <formula>TEXT($A108,"ddd")="Fri"</formula>
    </cfRule>
  </conditionalFormatting>
  <conditionalFormatting sqref="I112:AP115">
    <cfRule type="expression" dxfId="42" priority="19">
      <formula>TEXT($A107,"ddd")="Fri"</formula>
    </cfRule>
  </conditionalFormatting>
  <conditionalFormatting sqref="I113:AP114 A113:D115 F113:G115">
    <cfRule type="expression" dxfId="41" priority="29">
      <formula>TEXT($A112,"ddd")="Fri"</formula>
    </cfRule>
  </conditionalFormatting>
  <conditionalFormatting sqref="I114:AP115">
    <cfRule type="expression" dxfId="40" priority="20">
      <formula>TEXT($A112,"ddd")="Fri"</formula>
    </cfRule>
  </conditionalFormatting>
  <conditionalFormatting sqref="I115:AP115">
    <cfRule type="expression" dxfId="39" priority="18">
      <formula>TEXT($A112,"ddd")="Fri"</formula>
    </cfRule>
  </conditionalFormatting>
  <conditionalFormatting sqref="J112:AJ112">
    <cfRule type="expression" dxfId="38" priority="6">
      <formula>TEXT($A112,"ddd")="Fri"</formula>
    </cfRule>
  </conditionalFormatting>
  <conditionalFormatting sqref="K6:AJ161">
    <cfRule type="cellIs" dxfId="37" priority="15" operator="greaterThan">
      <formula>0</formula>
    </cfRule>
  </conditionalFormatting>
  <conditionalFormatting sqref="M96">
    <cfRule type="expression" dxfId="36" priority="8">
      <formula>TEXT($A96,"ddd")="Fri"</formula>
    </cfRule>
  </conditionalFormatting>
  <conditionalFormatting sqref="M101">
    <cfRule type="expression" dxfId="35" priority="7">
      <formula>TEXT($A101,"ddd")="Fri"</formula>
    </cfRule>
  </conditionalFormatting>
  <conditionalFormatting sqref="M117">
    <cfRule type="expression" dxfId="34" priority="5">
      <formula>TEXT($A117,"ddd")="Fri"</formula>
    </cfRule>
  </conditionalFormatting>
  <conditionalFormatting sqref="N124:N126">
    <cfRule type="expression" dxfId="33" priority="21">
      <formula>TEXT($A125,"ddd")="Fri"</formula>
    </cfRule>
    <cfRule type="expression" dxfId="32" priority="22">
      <formula>TEXT($A121,"ddd")="Fri"</formula>
    </cfRule>
    <cfRule type="expression" dxfId="31" priority="23">
      <formula>TEXT($A123,"ddd")="Fri"</formula>
    </cfRule>
    <cfRule type="expression" dxfId="30" priority="24">
      <formula>TEXT($A122,"ddd")="Fri"</formula>
    </cfRule>
    <cfRule type="expression" dxfId="29" priority="25">
      <formula>TEXT($A124,"ddd")="Fri"</formula>
    </cfRule>
  </conditionalFormatting>
  <conditionalFormatting sqref="W115">
    <cfRule type="expression" dxfId="28" priority="16">
      <formula>TEXT($A114,"ddd")="Fri"</formula>
    </cfRule>
    <cfRule type="expression" dxfId="27" priority="17">
      <formula>TEXT($A109,"ddd")="Fri"</formula>
    </cfRule>
  </conditionalFormatting>
  <conditionalFormatting sqref="AK7:AK8 AK12:AK13 AK17:AK18 AK22:AK23 AK27:AK28 AK32:AK33 AK37:AK38 AK42:AK43 AK47:AK48 AK52:AK53 AK57:AK58 AK62:AK63 AK67:AK68 AK72:AK73 AK77:AK78 AK82:AK83 AK87:AK88 AK92:AK93 AK97:AK98 AK102:AK103 AK107:AK108 AK113:AK114 AK118:AK119 AK123:AK124 AK128:AK129 AK133:AK134 AK138:AK139 AK143:AK144 AK148:AK149 AK153:AK154 AK158:AK159">
    <cfRule type="cellIs" dxfId="26" priority="14" operator="greaterThan">
      <formula>0</formula>
    </cfRule>
  </conditionalFormatting>
  <pageMargins left="0.1" right="0.25" top="0.53" bottom="0.03" header="0" footer="0"/>
  <pageSetup paperSize="9" scale="5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FE162-5AF9-4052-A18D-F9A31C1F3EE7}">
  <sheetPr>
    <tabColor rgb="FFFFC000"/>
  </sheetPr>
  <dimension ref="A1:AY72"/>
  <sheetViews>
    <sheetView showGridLines="0" zoomScale="90" zoomScaleNormal="90" workbookViewId="0">
      <pane xSplit="3" ySplit="5" topLeftCell="D33" activePane="bottomRight" state="frozen"/>
      <selection pane="topRight" activeCell="D1" sqref="D1"/>
      <selection pane="bottomLeft" activeCell="A5" sqref="A5"/>
      <selection pane="bottomRight" activeCell="AF44" sqref="AF44"/>
    </sheetView>
  </sheetViews>
  <sheetFormatPr defaultColWidth="9.140625" defaultRowHeight="12.75" outlineLevelCol="1" x14ac:dyDescent="0.25"/>
  <cols>
    <col min="1" max="1" width="9.140625" style="1" bestFit="1" customWidth="1"/>
    <col min="2" max="2" width="4.85546875" style="1" bestFit="1" customWidth="1"/>
    <col min="3" max="3" width="8.42578125" style="13" bestFit="1" customWidth="1"/>
    <col min="4" max="4" width="21.140625" style="1" bestFit="1" customWidth="1"/>
    <col min="5" max="5" width="7" style="1" bestFit="1" customWidth="1"/>
    <col min="6" max="6" width="6" style="1" bestFit="1" customWidth="1"/>
    <col min="7" max="7" width="5" style="1" bestFit="1" customWidth="1"/>
    <col min="8" max="9" width="6" style="1" bestFit="1" customWidth="1"/>
    <col min="10" max="10" width="6.7109375" style="1" bestFit="1" customWidth="1"/>
    <col min="11" max="11" width="5" style="1" bestFit="1" customWidth="1" outlineLevel="1"/>
    <col min="12" max="12" width="4" style="1" bestFit="1" customWidth="1" outlineLevel="1"/>
    <col min="13" max="13" width="6" style="1" bestFit="1" customWidth="1" outlineLevel="1"/>
    <col min="14" max="14" width="5" style="1" bestFit="1" customWidth="1" outlineLevel="1"/>
    <col min="15" max="15" width="3.140625" style="1" bestFit="1" customWidth="1" outlineLevel="1"/>
    <col min="16" max="16" width="4" style="1" bestFit="1" customWidth="1" outlineLevel="1"/>
    <col min="17" max="17" width="5" style="1" bestFit="1" customWidth="1" outlineLevel="1"/>
    <col min="18" max="24" width="3.140625" style="1" bestFit="1" customWidth="1" outlineLevel="1"/>
    <col min="25" max="25" width="4" style="1" bestFit="1" customWidth="1" outlineLevel="1"/>
    <col min="26" max="26" width="3.140625" style="1" bestFit="1" customWidth="1" outlineLevel="1"/>
    <col min="27" max="27" width="5.28515625" style="1" bestFit="1" customWidth="1" outlineLevel="1"/>
    <col min="28" max="29" width="3.140625" style="1" bestFit="1" customWidth="1" outlineLevel="1"/>
    <col min="30" max="31" width="4" style="1" bestFit="1" customWidth="1" outlineLevel="1"/>
    <col min="32" max="32" width="5" style="1" bestFit="1" customWidth="1" outlineLevel="1"/>
    <col min="33" max="33" width="4" style="1" bestFit="1" customWidth="1" outlineLevel="1"/>
    <col min="34" max="34" width="6" style="14" bestFit="1" customWidth="1"/>
    <col min="35" max="35" width="6.140625" style="1" bestFit="1" customWidth="1"/>
    <col min="36" max="36" width="5.140625" style="1" bestFit="1" customWidth="1"/>
    <col min="37" max="37" width="6.140625" style="1" bestFit="1" customWidth="1"/>
    <col min="38" max="38" width="5.140625" style="16" bestFit="1" customWidth="1"/>
    <col min="39" max="39" width="9.5703125" style="28" bestFit="1" customWidth="1"/>
    <col min="40" max="51" width="0" style="1" hidden="1" customWidth="1"/>
    <col min="52" max="16384" width="9.140625" style="1"/>
  </cols>
  <sheetData>
    <row r="1" spans="1:51" ht="25.5" x14ac:dyDescent="0.25">
      <c r="A1" s="316" t="s">
        <v>0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  <c r="AF1" s="317"/>
      <c r="AG1" s="317"/>
      <c r="AH1" s="317"/>
      <c r="AI1" s="317"/>
      <c r="AJ1" s="317"/>
      <c r="AK1" s="317"/>
      <c r="AL1" s="317"/>
      <c r="AM1" s="317"/>
    </row>
    <row r="2" spans="1:51" x14ac:dyDescent="0.25">
      <c r="A2" s="318" t="s">
        <v>1</v>
      </c>
      <c r="B2" s="319"/>
      <c r="C2" s="319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  <c r="AA2" s="319"/>
      <c r="AB2" s="319"/>
      <c r="AC2" s="319"/>
      <c r="AD2" s="319"/>
      <c r="AE2" s="319"/>
      <c r="AF2" s="319"/>
      <c r="AG2" s="319"/>
      <c r="AH2" s="319"/>
      <c r="AI2" s="319"/>
      <c r="AJ2" s="319"/>
      <c r="AK2" s="319"/>
      <c r="AL2" s="319"/>
      <c r="AM2" s="319"/>
    </row>
    <row r="3" spans="1:51" ht="13.5" thickBot="1" x14ac:dyDescent="0.3">
      <c r="A3" s="214" t="str">
        <f>"Fan Auto Die Casting ("&amp;TEXT('Fan Lathe'!AM3,"mmmm yyyy")&amp;")"</f>
        <v>Fan Auto Die Casting (January 2026)</v>
      </c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5"/>
      <c r="AD3" s="215"/>
      <c r="AE3" s="215"/>
      <c r="AF3" s="215"/>
      <c r="AG3" s="215"/>
      <c r="AH3" s="215"/>
      <c r="AI3" s="215"/>
      <c r="AJ3" s="215"/>
      <c r="AK3" s="215"/>
      <c r="AL3" s="215"/>
      <c r="AM3" s="216">
        <f>'Fan Lathe'!AM3</f>
        <v>46023</v>
      </c>
      <c r="AN3" s="283">
        <v>45658</v>
      </c>
      <c r="AO3" s="283">
        <v>45689</v>
      </c>
      <c r="AP3" s="283">
        <v>45717</v>
      </c>
      <c r="AQ3" s="283">
        <v>45748</v>
      </c>
      <c r="AR3" s="283">
        <v>45778</v>
      </c>
      <c r="AS3" s="283">
        <v>45809</v>
      </c>
      <c r="AT3" s="283">
        <v>45839</v>
      </c>
      <c r="AU3" s="283">
        <v>45870</v>
      </c>
      <c r="AV3" s="283">
        <v>45901</v>
      </c>
      <c r="AW3" s="283">
        <v>45931</v>
      </c>
      <c r="AX3" s="283">
        <v>45962</v>
      </c>
      <c r="AY3" s="283">
        <v>45992</v>
      </c>
    </row>
    <row r="4" spans="1:51" ht="13.5" hidden="1" thickBo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>
        <v>10</v>
      </c>
      <c r="L4" s="4">
        <v>11</v>
      </c>
      <c r="M4" s="4">
        <v>12</v>
      </c>
      <c r="N4" s="4">
        <v>13</v>
      </c>
      <c r="O4" s="4">
        <v>14</v>
      </c>
      <c r="P4" s="4">
        <v>15</v>
      </c>
      <c r="Q4" s="4">
        <v>16</v>
      </c>
      <c r="R4" s="4">
        <v>17</v>
      </c>
      <c r="S4" s="4">
        <v>18</v>
      </c>
      <c r="T4" s="4">
        <v>19</v>
      </c>
      <c r="U4" s="4">
        <v>20</v>
      </c>
      <c r="V4" s="4">
        <v>21</v>
      </c>
      <c r="W4" s="4">
        <v>22</v>
      </c>
      <c r="X4" s="4">
        <v>23</v>
      </c>
      <c r="Y4" s="4">
        <v>24</v>
      </c>
      <c r="Z4" s="4">
        <v>25</v>
      </c>
      <c r="AA4" s="4">
        <v>26</v>
      </c>
      <c r="AB4" s="4">
        <v>27</v>
      </c>
      <c r="AC4" s="4">
        <v>28</v>
      </c>
      <c r="AD4" s="4">
        <v>29</v>
      </c>
      <c r="AE4" s="4">
        <v>30</v>
      </c>
      <c r="AF4" s="4">
        <v>31</v>
      </c>
      <c r="AG4" s="4">
        <v>32</v>
      </c>
      <c r="AH4" s="4"/>
      <c r="AI4" s="4"/>
      <c r="AJ4" s="4"/>
      <c r="AK4" s="4"/>
      <c r="AL4" s="4"/>
      <c r="AM4" s="4"/>
    </row>
    <row r="5" spans="1:51" s="5" customFormat="1" ht="110.25" customHeight="1" thickBot="1" x14ac:dyDescent="0.3">
      <c r="A5" s="73" t="s">
        <v>2</v>
      </c>
      <c r="B5" s="74" t="s">
        <v>3</v>
      </c>
      <c r="C5" s="74" t="s">
        <v>4</v>
      </c>
      <c r="D5" s="74" t="s">
        <v>5</v>
      </c>
      <c r="E5" s="74" t="s">
        <v>46</v>
      </c>
      <c r="F5" s="74" t="s">
        <v>41</v>
      </c>
      <c r="G5" s="74" t="s">
        <v>6</v>
      </c>
      <c r="H5" s="74" t="s">
        <v>26</v>
      </c>
      <c r="I5" s="74" t="s">
        <v>42</v>
      </c>
      <c r="J5" s="75" t="s">
        <v>43</v>
      </c>
      <c r="K5" s="76" t="s">
        <v>28</v>
      </c>
      <c r="L5" s="30" t="s">
        <v>29</v>
      </c>
      <c r="M5" s="30" t="s">
        <v>27</v>
      </c>
      <c r="N5" s="30" t="s">
        <v>8</v>
      </c>
      <c r="O5" s="30" t="s">
        <v>38</v>
      </c>
      <c r="P5" s="30" t="s">
        <v>9</v>
      </c>
      <c r="Q5" s="30" t="s">
        <v>10</v>
      </c>
      <c r="R5" s="30" t="s">
        <v>11</v>
      </c>
      <c r="S5" s="30" t="s">
        <v>12</v>
      </c>
      <c r="T5" s="30" t="s">
        <v>13</v>
      </c>
      <c r="U5" s="30" t="s">
        <v>14</v>
      </c>
      <c r="V5" s="30" t="s">
        <v>30</v>
      </c>
      <c r="W5" s="30" t="s">
        <v>44</v>
      </c>
      <c r="X5" s="30" t="s">
        <v>25</v>
      </c>
      <c r="Y5" s="30" t="s">
        <v>31</v>
      </c>
      <c r="Z5" s="30" t="s">
        <v>32</v>
      </c>
      <c r="AA5" s="30" t="s">
        <v>15</v>
      </c>
      <c r="AB5" s="30" t="s">
        <v>16</v>
      </c>
      <c r="AC5" s="30" t="s">
        <v>33</v>
      </c>
      <c r="AD5" s="30" t="s">
        <v>36</v>
      </c>
      <c r="AE5" s="30" t="s">
        <v>40</v>
      </c>
      <c r="AF5" s="30" t="s">
        <v>37</v>
      </c>
      <c r="AG5" s="30" t="s">
        <v>39</v>
      </c>
      <c r="AH5" s="77" t="s">
        <v>17</v>
      </c>
      <c r="AI5" s="74" t="s">
        <v>18</v>
      </c>
      <c r="AJ5" s="74" t="s">
        <v>19</v>
      </c>
      <c r="AK5" s="74" t="s">
        <v>20</v>
      </c>
      <c r="AL5" s="78" t="s">
        <v>21</v>
      </c>
      <c r="AM5" s="79" t="s">
        <v>22</v>
      </c>
    </row>
    <row r="6" spans="1:51" ht="12.75" customHeight="1" x14ac:dyDescent="0.2">
      <c r="A6" s="310">
        <f>AM3</f>
        <v>46023</v>
      </c>
      <c r="B6" s="323">
        <f>A6</f>
        <v>46023</v>
      </c>
      <c r="C6" s="50" t="s">
        <v>23</v>
      </c>
      <c r="D6" s="37" t="s">
        <v>95</v>
      </c>
      <c r="E6" s="278">
        <v>3200</v>
      </c>
      <c r="F6" s="223">
        <v>1283</v>
      </c>
      <c r="G6" s="224">
        <v>22</v>
      </c>
      <c r="H6" s="261">
        <v>1440</v>
      </c>
      <c r="I6" s="51">
        <f t="shared" ref="I6:I17" si="0">IF(E6&lt;&gt;"",180,0)</f>
        <v>180</v>
      </c>
      <c r="J6" s="52">
        <f>H6-AH6</f>
        <v>580</v>
      </c>
      <c r="K6" s="226"/>
      <c r="L6" s="226"/>
      <c r="M6" s="226">
        <v>720</v>
      </c>
      <c r="N6" s="226"/>
      <c r="O6" s="226"/>
      <c r="P6" s="226">
        <v>10</v>
      </c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>
        <v>10</v>
      </c>
      <c r="AE6" s="226"/>
      <c r="AF6" s="226"/>
      <c r="AG6" s="226">
        <v>120</v>
      </c>
      <c r="AH6" s="53">
        <f>SUM(K6:AG6)</f>
        <v>860</v>
      </c>
      <c r="AI6" s="39">
        <f>IFERROR(J6/H6,"0")</f>
        <v>0.40277777777777779</v>
      </c>
      <c r="AJ6" s="39">
        <f>IFERROR(F6/E6,"0")</f>
        <v>0.4009375</v>
      </c>
      <c r="AK6" s="39">
        <f>IFERROR(F6/(F6+G6),"0")</f>
        <v>0.98314176245210727</v>
      </c>
      <c r="AL6" s="39">
        <f>IFERROR(AK6*AJ6*AI6,"0")</f>
        <v>0.158766300154321</v>
      </c>
      <c r="AM6" s="243"/>
    </row>
    <row r="7" spans="1:51" ht="12.75" customHeight="1" thickBot="1" x14ac:dyDescent="0.25">
      <c r="A7" s="312"/>
      <c r="B7" s="325"/>
      <c r="C7" s="54" t="s">
        <v>23</v>
      </c>
      <c r="D7" s="55" t="s">
        <v>96</v>
      </c>
      <c r="E7" s="293">
        <v>3200</v>
      </c>
      <c r="F7" s="235">
        <v>1476</v>
      </c>
      <c r="G7" s="236">
        <v>12</v>
      </c>
      <c r="H7" s="294">
        <v>1440</v>
      </c>
      <c r="I7" s="279">
        <f t="shared" si="0"/>
        <v>180</v>
      </c>
      <c r="J7" s="56">
        <f>H7-AH7</f>
        <v>580</v>
      </c>
      <c r="K7" s="238"/>
      <c r="L7" s="238"/>
      <c r="M7" s="238">
        <v>720</v>
      </c>
      <c r="N7" s="238"/>
      <c r="O7" s="238"/>
      <c r="P7" s="238">
        <v>10</v>
      </c>
      <c r="Q7" s="238"/>
      <c r="R7" s="238"/>
      <c r="S7" s="238"/>
      <c r="T7" s="238"/>
      <c r="U7" s="238"/>
      <c r="V7" s="238"/>
      <c r="W7" s="238"/>
      <c r="X7" s="238"/>
      <c r="Y7" s="238"/>
      <c r="Z7" s="238"/>
      <c r="AA7" s="238"/>
      <c r="AB7" s="238"/>
      <c r="AC7" s="238"/>
      <c r="AD7" s="238">
        <v>10</v>
      </c>
      <c r="AE7" s="238"/>
      <c r="AF7" s="238"/>
      <c r="AG7" s="238">
        <v>120</v>
      </c>
      <c r="AH7" s="57">
        <f>SUM(K7:AG7)</f>
        <v>860</v>
      </c>
      <c r="AI7" s="41">
        <f>IFERROR(J7/H7,"0")</f>
        <v>0.40277777777777779</v>
      </c>
      <c r="AJ7" s="41">
        <f>IFERROR(F7/E7,"0")</f>
        <v>0.46124999999999999</v>
      </c>
      <c r="AK7" s="41">
        <f>IFERROR(F7/(F7+G7),"0")</f>
        <v>0.99193548387096775</v>
      </c>
      <c r="AL7" s="41">
        <f>IFERROR(AK7*AJ7*AI7,"0")</f>
        <v>0.18428301411290324</v>
      </c>
      <c r="AM7" s="256"/>
    </row>
    <row r="8" spans="1:51" ht="12.75" customHeight="1" x14ac:dyDescent="0.2">
      <c r="A8" s="310">
        <f>A6+1</f>
        <v>46024</v>
      </c>
      <c r="B8" s="323">
        <f t="shared" ref="B8" si="1">A8</f>
        <v>46024</v>
      </c>
      <c r="C8" s="50" t="s">
        <v>23</v>
      </c>
      <c r="D8" s="37" t="s">
        <v>95</v>
      </c>
      <c r="E8" s="278">
        <v>3200</v>
      </c>
      <c r="F8" s="223">
        <v>1487</v>
      </c>
      <c r="G8" s="224">
        <v>23</v>
      </c>
      <c r="H8" s="261">
        <v>1440</v>
      </c>
      <c r="I8" s="51">
        <f t="shared" si="0"/>
        <v>180</v>
      </c>
      <c r="J8" s="52">
        <f>H8-AH8</f>
        <v>670</v>
      </c>
      <c r="K8" s="226"/>
      <c r="L8" s="226"/>
      <c r="M8" s="226">
        <v>720</v>
      </c>
      <c r="N8" s="226">
        <v>50</v>
      </c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  <c r="AA8" s="226"/>
      <c r="AB8" s="226"/>
      <c r="AC8" s="226"/>
      <c r="AD8" s="226"/>
      <c r="AE8" s="226"/>
      <c r="AF8" s="226"/>
      <c r="AG8" s="226"/>
      <c r="AH8" s="53">
        <f>SUM(K8:AG8)</f>
        <v>770</v>
      </c>
      <c r="AI8" s="39">
        <f>IFERROR(J8/H8,"0")</f>
        <v>0.46527777777777779</v>
      </c>
      <c r="AJ8" s="39">
        <f>IFERROR(F8/E8,"0")</f>
        <v>0.46468749999999998</v>
      </c>
      <c r="AK8" s="39">
        <f>IFERROR(F8/(F8+G8),"0")</f>
        <v>0.98476821192052977</v>
      </c>
      <c r="AL8" s="39">
        <f>IFERROR(AK8*AJ8*AI8,"0")</f>
        <v>0.21291552123574317</v>
      </c>
      <c r="AM8" s="243"/>
    </row>
    <row r="9" spans="1:51" ht="12.75" customHeight="1" thickBot="1" x14ac:dyDescent="0.25">
      <c r="A9" s="312"/>
      <c r="B9" s="325"/>
      <c r="C9" s="54" t="s">
        <v>23</v>
      </c>
      <c r="D9" s="55" t="s">
        <v>96</v>
      </c>
      <c r="E9" s="293">
        <v>3200</v>
      </c>
      <c r="F9" s="235">
        <v>1552</v>
      </c>
      <c r="G9" s="236">
        <v>6</v>
      </c>
      <c r="H9" s="294">
        <v>1440</v>
      </c>
      <c r="I9" s="279">
        <f t="shared" si="0"/>
        <v>180</v>
      </c>
      <c r="J9" s="56">
        <f>H9-AH9</f>
        <v>670</v>
      </c>
      <c r="K9" s="238"/>
      <c r="L9" s="238"/>
      <c r="M9" s="238">
        <v>720</v>
      </c>
      <c r="N9" s="238">
        <v>50</v>
      </c>
      <c r="O9" s="238"/>
      <c r="P9" s="238"/>
      <c r="Q9" s="238"/>
      <c r="R9" s="238"/>
      <c r="S9" s="238"/>
      <c r="T9" s="238"/>
      <c r="U9" s="238"/>
      <c r="V9" s="238"/>
      <c r="W9" s="238"/>
      <c r="X9" s="238"/>
      <c r="Y9" s="238"/>
      <c r="Z9" s="238"/>
      <c r="AA9" s="238"/>
      <c r="AB9" s="238"/>
      <c r="AC9" s="238"/>
      <c r="AD9" s="238"/>
      <c r="AE9" s="238"/>
      <c r="AF9" s="238"/>
      <c r="AG9" s="238"/>
      <c r="AH9" s="57">
        <f t="shared" ref="AH9:AH10" si="2">SUM(K9:AG9)</f>
        <v>770</v>
      </c>
      <c r="AI9" s="41">
        <f>IFERROR(J9/H9,"0")</f>
        <v>0.46527777777777779</v>
      </c>
      <c r="AJ9" s="41">
        <f>IFERROR(F9/E9,"0")</f>
        <v>0.48499999999999999</v>
      </c>
      <c r="AK9" s="41">
        <f t="shared" ref="AK9:AK67" si="3">IFERROR(F9/(F9+G9),"0")</f>
        <v>0.99614890885750962</v>
      </c>
      <c r="AL9" s="41">
        <f t="shared" ref="AL9:AL67" si="4">IFERROR(AK9*AJ9*AI9,"0")</f>
        <v>0.22479068606475539</v>
      </c>
      <c r="AM9" s="256"/>
    </row>
    <row r="10" spans="1:51" ht="12.75" customHeight="1" x14ac:dyDescent="0.2">
      <c r="A10" s="310">
        <f>A8+1</f>
        <v>46025</v>
      </c>
      <c r="B10" s="323">
        <f t="shared" ref="B10" si="5">A10</f>
        <v>46025</v>
      </c>
      <c r="C10" s="50" t="s">
        <v>23</v>
      </c>
      <c r="D10" s="37" t="s">
        <v>95</v>
      </c>
      <c r="E10" s="278">
        <v>3200</v>
      </c>
      <c r="F10" s="223">
        <v>1323</v>
      </c>
      <c r="G10" s="224">
        <v>40</v>
      </c>
      <c r="H10" s="261">
        <v>1440</v>
      </c>
      <c r="I10" s="51">
        <f t="shared" si="0"/>
        <v>180</v>
      </c>
      <c r="J10" s="52">
        <f t="shared" ref="J10:J67" si="6">H10-AH10</f>
        <v>660</v>
      </c>
      <c r="K10" s="226"/>
      <c r="L10" s="226"/>
      <c r="M10" s="226">
        <v>720</v>
      </c>
      <c r="N10" s="226"/>
      <c r="O10" s="226"/>
      <c r="P10" s="226"/>
      <c r="Q10" s="226">
        <v>60</v>
      </c>
      <c r="R10" s="226"/>
      <c r="S10" s="226"/>
      <c r="T10" s="226"/>
      <c r="U10" s="226"/>
      <c r="V10" s="226"/>
      <c r="W10" s="226"/>
      <c r="X10" s="226"/>
      <c r="Y10" s="226"/>
      <c r="Z10" s="226"/>
      <c r="AA10" s="226"/>
      <c r="AB10" s="226"/>
      <c r="AC10" s="226"/>
      <c r="AD10" s="226"/>
      <c r="AE10" s="226"/>
      <c r="AF10" s="226"/>
      <c r="AG10" s="226"/>
      <c r="AH10" s="53">
        <f t="shared" si="2"/>
        <v>780</v>
      </c>
      <c r="AI10" s="39">
        <f t="shared" ref="AI10:AI67" si="7">IFERROR(J10/H10,"0")</f>
        <v>0.45833333333333331</v>
      </c>
      <c r="AJ10" s="39">
        <f t="shared" ref="AJ10:AJ67" si="8">IFERROR(F10/E10,"0")</f>
        <v>0.41343750000000001</v>
      </c>
      <c r="AK10" s="39">
        <f t="shared" si="3"/>
        <v>0.97065297138664708</v>
      </c>
      <c r="AL10" s="39">
        <f t="shared" si="4"/>
        <v>0.18393115485143066</v>
      </c>
      <c r="AM10" s="243"/>
    </row>
    <row r="11" spans="1:51" ht="12.75" customHeight="1" thickBot="1" x14ac:dyDescent="0.25">
      <c r="A11" s="312"/>
      <c r="B11" s="325"/>
      <c r="C11" s="54" t="s">
        <v>23</v>
      </c>
      <c r="D11" s="55" t="s">
        <v>96</v>
      </c>
      <c r="E11" s="293">
        <v>3200</v>
      </c>
      <c r="F11" s="235">
        <v>1550</v>
      </c>
      <c r="G11" s="236">
        <v>12</v>
      </c>
      <c r="H11" s="294">
        <v>1440</v>
      </c>
      <c r="I11" s="279">
        <f t="shared" si="0"/>
        <v>180</v>
      </c>
      <c r="J11" s="56">
        <f t="shared" si="6"/>
        <v>660</v>
      </c>
      <c r="K11" s="238"/>
      <c r="L11" s="238"/>
      <c r="M11" s="238">
        <v>720</v>
      </c>
      <c r="N11" s="238"/>
      <c r="O11" s="238"/>
      <c r="P11" s="238"/>
      <c r="Q11" s="238">
        <v>60</v>
      </c>
      <c r="R11" s="238"/>
      <c r="S11" s="238"/>
      <c r="T11" s="238"/>
      <c r="U11" s="238"/>
      <c r="V11" s="238"/>
      <c r="W11" s="238"/>
      <c r="X11" s="238"/>
      <c r="Y11" s="238"/>
      <c r="Z11" s="238"/>
      <c r="AA11" s="238"/>
      <c r="AB11" s="238"/>
      <c r="AC11" s="238"/>
      <c r="AD11" s="238"/>
      <c r="AE11" s="238"/>
      <c r="AF11" s="238"/>
      <c r="AG11" s="238"/>
      <c r="AH11" s="57">
        <f t="shared" ref="AH11:AH67" si="9">SUM(K11:AG11)</f>
        <v>780</v>
      </c>
      <c r="AI11" s="41">
        <f t="shared" si="7"/>
        <v>0.45833333333333331</v>
      </c>
      <c r="AJ11" s="41">
        <f t="shared" si="8"/>
        <v>0.484375</v>
      </c>
      <c r="AK11" s="41">
        <f t="shared" si="3"/>
        <v>0.99231754161331631</v>
      </c>
      <c r="AL11" s="41">
        <f t="shared" si="4"/>
        <v>0.22029966255868544</v>
      </c>
      <c r="AM11" s="256"/>
    </row>
    <row r="12" spans="1:51" ht="12.75" customHeight="1" x14ac:dyDescent="0.2">
      <c r="A12" s="310">
        <f t="shared" ref="A12" si="10">A10+1</f>
        <v>46026</v>
      </c>
      <c r="B12" s="323">
        <f t="shared" ref="B12" si="11">A12</f>
        <v>46026</v>
      </c>
      <c r="C12" s="50" t="s">
        <v>23</v>
      </c>
      <c r="D12" s="37" t="s">
        <v>95</v>
      </c>
      <c r="E12" s="278">
        <v>3200</v>
      </c>
      <c r="F12" s="223">
        <v>1349</v>
      </c>
      <c r="G12" s="224">
        <v>9</v>
      </c>
      <c r="H12" s="261">
        <v>1440</v>
      </c>
      <c r="I12" s="51">
        <f t="shared" si="0"/>
        <v>180</v>
      </c>
      <c r="J12" s="52">
        <f t="shared" si="6"/>
        <v>650</v>
      </c>
      <c r="K12" s="226">
        <v>70</v>
      </c>
      <c r="L12" s="226"/>
      <c r="M12" s="226">
        <v>720</v>
      </c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226"/>
      <c r="AH12" s="53">
        <f t="shared" si="9"/>
        <v>790</v>
      </c>
      <c r="AI12" s="39">
        <f t="shared" si="7"/>
        <v>0.4513888888888889</v>
      </c>
      <c r="AJ12" s="39">
        <f t="shared" si="8"/>
        <v>0.42156250000000001</v>
      </c>
      <c r="AK12" s="39">
        <f t="shared" si="3"/>
        <v>0.99337260677466865</v>
      </c>
      <c r="AL12" s="39">
        <f t="shared" si="4"/>
        <v>0.18902751090502784</v>
      </c>
      <c r="AM12" s="243"/>
    </row>
    <row r="13" spans="1:51" ht="12.75" customHeight="1" thickBot="1" x14ac:dyDescent="0.25">
      <c r="A13" s="312"/>
      <c r="B13" s="325"/>
      <c r="C13" s="54" t="s">
        <v>23</v>
      </c>
      <c r="D13" s="55" t="s">
        <v>96</v>
      </c>
      <c r="E13" s="293">
        <v>3200</v>
      </c>
      <c r="F13" s="235">
        <v>1600</v>
      </c>
      <c r="G13" s="236">
        <v>7</v>
      </c>
      <c r="H13" s="294">
        <v>1440</v>
      </c>
      <c r="I13" s="279">
        <f t="shared" si="0"/>
        <v>180</v>
      </c>
      <c r="J13" s="56">
        <f t="shared" si="6"/>
        <v>650</v>
      </c>
      <c r="K13" s="238">
        <v>70</v>
      </c>
      <c r="L13" s="238"/>
      <c r="M13" s="238">
        <v>720</v>
      </c>
      <c r="N13" s="238"/>
      <c r="O13" s="238"/>
      <c r="P13" s="238"/>
      <c r="Q13" s="238"/>
      <c r="R13" s="238"/>
      <c r="S13" s="238"/>
      <c r="T13" s="238"/>
      <c r="U13" s="238"/>
      <c r="V13" s="238"/>
      <c r="W13" s="238"/>
      <c r="X13" s="238"/>
      <c r="Y13" s="238"/>
      <c r="Z13" s="238"/>
      <c r="AA13" s="238"/>
      <c r="AB13" s="238"/>
      <c r="AC13" s="238"/>
      <c r="AD13" s="238"/>
      <c r="AE13" s="238"/>
      <c r="AF13" s="238"/>
      <c r="AG13" s="238"/>
      <c r="AH13" s="57">
        <f t="shared" si="9"/>
        <v>790</v>
      </c>
      <c r="AI13" s="41">
        <f t="shared" si="7"/>
        <v>0.4513888888888889</v>
      </c>
      <c r="AJ13" s="41">
        <f t="shared" si="8"/>
        <v>0.5</v>
      </c>
      <c r="AK13" s="41">
        <f t="shared" si="3"/>
        <v>0.99564405724953331</v>
      </c>
      <c r="AL13" s="41">
        <f t="shared" si="4"/>
        <v>0.22471133236534607</v>
      </c>
      <c r="AM13" s="256"/>
    </row>
    <row r="14" spans="1:51" ht="12.75" customHeight="1" x14ac:dyDescent="0.2">
      <c r="A14" s="310">
        <f t="shared" ref="A14" si="12">A12+1</f>
        <v>46027</v>
      </c>
      <c r="B14" s="323">
        <f t="shared" ref="B14" si="13">A14</f>
        <v>46027</v>
      </c>
      <c r="C14" s="50" t="s">
        <v>23</v>
      </c>
      <c r="D14" s="37" t="s">
        <v>95</v>
      </c>
      <c r="E14" s="278">
        <v>3200</v>
      </c>
      <c r="F14" s="223">
        <v>1550</v>
      </c>
      <c r="G14" s="224">
        <v>5</v>
      </c>
      <c r="H14" s="261">
        <v>1440</v>
      </c>
      <c r="I14" s="51">
        <f t="shared" si="0"/>
        <v>180</v>
      </c>
      <c r="J14" s="52">
        <f t="shared" si="6"/>
        <v>695</v>
      </c>
      <c r="K14" s="226"/>
      <c r="L14" s="226">
        <v>15</v>
      </c>
      <c r="M14" s="226">
        <v>720</v>
      </c>
      <c r="N14" s="226"/>
      <c r="O14" s="226"/>
      <c r="P14" s="226">
        <v>10</v>
      </c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53">
        <f t="shared" si="9"/>
        <v>745</v>
      </c>
      <c r="AI14" s="39">
        <f t="shared" si="7"/>
        <v>0.4826388888888889</v>
      </c>
      <c r="AJ14" s="39">
        <f t="shared" si="8"/>
        <v>0.484375</v>
      </c>
      <c r="AK14" s="39">
        <f t="shared" si="3"/>
        <v>0.99678456591639875</v>
      </c>
      <c r="AL14" s="39">
        <f t="shared" si="4"/>
        <v>0.23302651337531261</v>
      </c>
      <c r="AM14" s="243"/>
    </row>
    <row r="15" spans="1:51" ht="12.75" customHeight="1" thickBot="1" x14ac:dyDescent="0.25">
      <c r="A15" s="312"/>
      <c r="B15" s="325"/>
      <c r="C15" s="54" t="s">
        <v>23</v>
      </c>
      <c r="D15" s="55" t="s">
        <v>96</v>
      </c>
      <c r="E15" s="293">
        <v>3200</v>
      </c>
      <c r="F15" s="235">
        <v>1550</v>
      </c>
      <c r="G15" s="236">
        <v>3</v>
      </c>
      <c r="H15" s="294">
        <v>1440</v>
      </c>
      <c r="I15" s="279">
        <f t="shared" si="0"/>
        <v>180</v>
      </c>
      <c r="J15" s="56">
        <f t="shared" si="6"/>
        <v>695</v>
      </c>
      <c r="K15" s="238"/>
      <c r="L15" s="238">
        <v>15</v>
      </c>
      <c r="M15" s="238">
        <v>720</v>
      </c>
      <c r="N15" s="238"/>
      <c r="O15" s="238"/>
      <c r="P15" s="238">
        <v>10</v>
      </c>
      <c r="Q15" s="238"/>
      <c r="R15" s="238"/>
      <c r="S15" s="238"/>
      <c r="T15" s="238"/>
      <c r="U15" s="238"/>
      <c r="V15" s="238"/>
      <c r="W15" s="238"/>
      <c r="X15" s="238"/>
      <c r="Y15" s="238"/>
      <c r="Z15" s="238"/>
      <c r="AA15" s="238"/>
      <c r="AB15" s="238"/>
      <c r="AC15" s="238"/>
      <c r="AD15" s="238"/>
      <c r="AE15" s="238"/>
      <c r="AF15" s="238"/>
      <c r="AG15" s="238"/>
      <c r="AH15" s="57">
        <f t="shared" si="9"/>
        <v>745</v>
      </c>
      <c r="AI15" s="41">
        <f t="shared" si="7"/>
        <v>0.4826388888888889</v>
      </c>
      <c r="AJ15" s="41">
        <f t="shared" si="8"/>
        <v>0.484375</v>
      </c>
      <c r="AK15" s="41">
        <f t="shared" si="3"/>
        <v>0.99806825499034124</v>
      </c>
      <c r="AL15" s="41">
        <f t="shared" si="4"/>
        <v>0.23332661191153323</v>
      </c>
      <c r="AM15" s="256"/>
    </row>
    <row r="16" spans="1:51" ht="12.75" customHeight="1" x14ac:dyDescent="0.2">
      <c r="A16" s="310">
        <f t="shared" ref="A16" si="14">A14+1</f>
        <v>46028</v>
      </c>
      <c r="B16" s="323">
        <f t="shared" ref="B16" si="15">A16</f>
        <v>46028</v>
      </c>
      <c r="C16" s="50" t="s">
        <v>23</v>
      </c>
      <c r="D16" s="37" t="s">
        <v>95</v>
      </c>
      <c r="E16" s="278">
        <v>3200</v>
      </c>
      <c r="F16" s="223">
        <v>1570</v>
      </c>
      <c r="G16" s="224">
        <v>16</v>
      </c>
      <c r="H16" s="261">
        <v>1440</v>
      </c>
      <c r="I16" s="51">
        <f t="shared" si="0"/>
        <v>180</v>
      </c>
      <c r="J16" s="52">
        <f t="shared" si="6"/>
        <v>710</v>
      </c>
      <c r="K16" s="226"/>
      <c r="L16" s="226"/>
      <c r="M16" s="226">
        <v>720</v>
      </c>
      <c r="N16" s="226"/>
      <c r="O16" s="226"/>
      <c r="P16" s="226">
        <v>10</v>
      </c>
      <c r="Q16" s="226"/>
      <c r="R16" s="226"/>
      <c r="S16" s="226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53">
        <f t="shared" si="9"/>
        <v>730</v>
      </c>
      <c r="AI16" s="39">
        <f t="shared" si="7"/>
        <v>0.49305555555555558</v>
      </c>
      <c r="AJ16" s="39">
        <f t="shared" si="8"/>
        <v>0.49062499999999998</v>
      </c>
      <c r="AK16" s="39">
        <f t="shared" si="3"/>
        <v>0.9899117276166457</v>
      </c>
      <c r="AL16" s="39">
        <f t="shared" si="4"/>
        <v>0.23946497456038954</v>
      </c>
      <c r="AM16" s="243"/>
    </row>
    <row r="17" spans="1:39" ht="12.75" customHeight="1" thickBot="1" x14ac:dyDescent="0.25">
      <c r="A17" s="312"/>
      <c r="B17" s="325"/>
      <c r="C17" s="54" t="s">
        <v>23</v>
      </c>
      <c r="D17" s="55" t="s">
        <v>96</v>
      </c>
      <c r="E17" s="293">
        <v>3200</v>
      </c>
      <c r="F17" s="235">
        <v>1570</v>
      </c>
      <c r="G17" s="236">
        <v>12</v>
      </c>
      <c r="H17" s="294">
        <v>1440</v>
      </c>
      <c r="I17" s="279">
        <f t="shared" si="0"/>
        <v>180</v>
      </c>
      <c r="J17" s="56">
        <f t="shared" si="6"/>
        <v>710</v>
      </c>
      <c r="K17" s="238"/>
      <c r="L17" s="238"/>
      <c r="M17" s="238">
        <v>720</v>
      </c>
      <c r="N17" s="238"/>
      <c r="O17" s="238"/>
      <c r="P17" s="238">
        <v>10</v>
      </c>
      <c r="Q17" s="238"/>
      <c r="R17" s="238"/>
      <c r="S17" s="238"/>
      <c r="T17" s="238"/>
      <c r="U17" s="238"/>
      <c r="V17" s="238"/>
      <c r="W17" s="238"/>
      <c r="X17" s="238"/>
      <c r="Y17" s="238"/>
      <c r="Z17" s="238"/>
      <c r="AA17" s="238"/>
      <c r="AB17" s="238"/>
      <c r="AC17" s="238"/>
      <c r="AD17" s="238"/>
      <c r="AE17" s="238"/>
      <c r="AF17" s="238"/>
      <c r="AG17" s="238"/>
      <c r="AH17" s="57">
        <f t="shared" si="9"/>
        <v>730</v>
      </c>
      <c r="AI17" s="41">
        <f t="shared" si="7"/>
        <v>0.49305555555555558</v>
      </c>
      <c r="AJ17" s="41">
        <f t="shared" si="8"/>
        <v>0.49062499999999998</v>
      </c>
      <c r="AK17" s="41">
        <f t="shared" si="3"/>
        <v>0.9924146649810367</v>
      </c>
      <c r="AL17" s="41">
        <f t="shared" si="4"/>
        <v>0.24007044857950555</v>
      </c>
      <c r="AM17" s="256"/>
    </row>
    <row r="18" spans="1:39" ht="12.75" customHeight="1" x14ac:dyDescent="0.2">
      <c r="A18" s="310">
        <f t="shared" ref="A18" si="16">A16+1</f>
        <v>46029</v>
      </c>
      <c r="B18" s="323">
        <f t="shared" ref="B18" si="17">A18</f>
        <v>46029</v>
      </c>
      <c r="C18" s="50" t="s">
        <v>23</v>
      </c>
      <c r="D18" s="37" t="s">
        <v>95</v>
      </c>
      <c r="E18" s="278">
        <v>3200</v>
      </c>
      <c r="F18" s="223">
        <v>1500</v>
      </c>
      <c r="G18" s="224">
        <v>11</v>
      </c>
      <c r="H18" s="261">
        <v>1440</v>
      </c>
      <c r="I18" s="51">
        <v>180</v>
      </c>
      <c r="J18" s="52">
        <f t="shared" si="6"/>
        <v>690</v>
      </c>
      <c r="K18" s="226"/>
      <c r="L18" s="226"/>
      <c r="M18" s="226">
        <v>720</v>
      </c>
      <c r="N18" s="226"/>
      <c r="O18" s="226"/>
      <c r="P18" s="226"/>
      <c r="Q18" s="226">
        <v>30</v>
      </c>
      <c r="R18" s="226"/>
      <c r="S18" s="226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53">
        <f t="shared" si="9"/>
        <v>750</v>
      </c>
      <c r="AI18" s="39">
        <f t="shared" si="7"/>
        <v>0.47916666666666669</v>
      </c>
      <c r="AJ18" s="39">
        <f t="shared" si="8"/>
        <v>0.46875</v>
      </c>
      <c r="AK18" s="39">
        <f t="shared" si="3"/>
        <v>0.99272005294506949</v>
      </c>
      <c r="AL18" s="39">
        <f t="shared" si="4"/>
        <v>0.22297423064195898</v>
      </c>
      <c r="AM18" s="243"/>
    </row>
    <row r="19" spans="1:39" ht="12.75" customHeight="1" thickBot="1" x14ac:dyDescent="0.25">
      <c r="A19" s="312"/>
      <c r="B19" s="325"/>
      <c r="C19" s="54" t="s">
        <v>23</v>
      </c>
      <c r="D19" s="55" t="s">
        <v>96</v>
      </c>
      <c r="E19" s="293">
        <v>3200</v>
      </c>
      <c r="F19" s="235">
        <v>1550</v>
      </c>
      <c r="G19" s="236">
        <v>6</v>
      </c>
      <c r="H19" s="294">
        <v>1440</v>
      </c>
      <c r="I19" s="279">
        <v>180</v>
      </c>
      <c r="J19" s="56">
        <f t="shared" si="6"/>
        <v>690</v>
      </c>
      <c r="K19" s="238"/>
      <c r="L19" s="238"/>
      <c r="M19" s="238">
        <v>720</v>
      </c>
      <c r="N19" s="238"/>
      <c r="O19" s="238"/>
      <c r="P19" s="238"/>
      <c r="Q19" s="238">
        <v>30</v>
      </c>
      <c r="R19" s="238"/>
      <c r="S19" s="238"/>
      <c r="T19" s="238"/>
      <c r="U19" s="238"/>
      <c r="V19" s="238"/>
      <c r="W19" s="238"/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57">
        <f t="shared" si="9"/>
        <v>750</v>
      </c>
      <c r="AI19" s="41">
        <f t="shared" si="7"/>
        <v>0.47916666666666669</v>
      </c>
      <c r="AJ19" s="41">
        <f t="shared" si="8"/>
        <v>0.484375</v>
      </c>
      <c r="AK19" s="41">
        <f t="shared" si="3"/>
        <v>0.99614395886889462</v>
      </c>
      <c r="AL19" s="41">
        <f t="shared" si="4"/>
        <v>0.2312013810786204</v>
      </c>
      <c r="AM19" s="256"/>
    </row>
    <row r="20" spans="1:39" ht="12.75" customHeight="1" x14ac:dyDescent="0.2">
      <c r="A20" s="310">
        <f t="shared" ref="A20" si="18">A18+1</f>
        <v>46030</v>
      </c>
      <c r="B20" s="323">
        <f t="shared" ref="B20" si="19">A20</f>
        <v>46030</v>
      </c>
      <c r="C20" s="50" t="s">
        <v>23</v>
      </c>
      <c r="D20" s="37" t="s">
        <v>95</v>
      </c>
      <c r="E20" s="278">
        <v>3200</v>
      </c>
      <c r="F20" s="223">
        <v>1500</v>
      </c>
      <c r="G20" s="224">
        <v>7</v>
      </c>
      <c r="H20" s="261">
        <v>1440</v>
      </c>
      <c r="I20" s="51">
        <f t="shared" ref="I20:I67" si="20">IF(E20&lt;&gt;"",180,0)</f>
        <v>180</v>
      </c>
      <c r="J20" s="52">
        <f t="shared" si="6"/>
        <v>690</v>
      </c>
      <c r="K20" s="226"/>
      <c r="L20" s="226"/>
      <c r="M20" s="226">
        <v>720</v>
      </c>
      <c r="N20" s="226">
        <v>30</v>
      </c>
      <c r="O20" s="226"/>
      <c r="P20" s="226"/>
      <c r="Q20" s="226"/>
      <c r="R20" s="226"/>
      <c r="S20" s="226"/>
      <c r="T20" s="226"/>
      <c r="U20" s="226"/>
      <c r="V20" s="226"/>
      <c r="W20" s="226"/>
      <c r="X20" s="226"/>
      <c r="Y20" s="226"/>
      <c r="Z20" s="226"/>
      <c r="AA20" s="226"/>
      <c r="AB20" s="226"/>
      <c r="AC20" s="226"/>
      <c r="AD20" s="226"/>
      <c r="AE20" s="226"/>
      <c r="AF20" s="226"/>
      <c r="AG20" s="226"/>
      <c r="AH20" s="53">
        <f t="shared" si="9"/>
        <v>750</v>
      </c>
      <c r="AI20" s="39">
        <f t="shared" si="7"/>
        <v>0.47916666666666669</v>
      </c>
      <c r="AJ20" s="39">
        <f t="shared" si="8"/>
        <v>0.46875</v>
      </c>
      <c r="AK20" s="39">
        <f t="shared" si="3"/>
        <v>0.99535500995355009</v>
      </c>
      <c r="AL20" s="39">
        <f t="shared" si="4"/>
        <v>0.22356606668878565</v>
      </c>
      <c r="AM20" s="243"/>
    </row>
    <row r="21" spans="1:39" ht="12.75" customHeight="1" thickBot="1" x14ac:dyDescent="0.25">
      <c r="A21" s="312"/>
      <c r="B21" s="325"/>
      <c r="C21" s="54" t="s">
        <v>23</v>
      </c>
      <c r="D21" s="55" t="s">
        <v>96</v>
      </c>
      <c r="E21" s="293">
        <v>3200</v>
      </c>
      <c r="F21" s="235">
        <v>1550</v>
      </c>
      <c r="G21" s="236">
        <v>9</v>
      </c>
      <c r="H21" s="294">
        <v>1440</v>
      </c>
      <c r="I21" s="279">
        <f t="shared" si="20"/>
        <v>180</v>
      </c>
      <c r="J21" s="56">
        <f t="shared" si="6"/>
        <v>690</v>
      </c>
      <c r="K21" s="238"/>
      <c r="L21" s="238"/>
      <c r="M21" s="238">
        <v>720</v>
      </c>
      <c r="N21" s="238">
        <v>30</v>
      </c>
      <c r="O21" s="238"/>
      <c r="P21" s="238"/>
      <c r="Q21" s="238"/>
      <c r="R21" s="238"/>
      <c r="S21" s="238"/>
      <c r="T21" s="238"/>
      <c r="U21" s="238"/>
      <c r="V21" s="238"/>
      <c r="W21" s="238"/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57">
        <f t="shared" si="9"/>
        <v>750</v>
      </c>
      <c r="AI21" s="41">
        <f t="shared" si="7"/>
        <v>0.47916666666666669</v>
      </c>
      <c r="AJ21" s="41">
        <f t="shared" si="8"/>
        <v>0.484375</v>
      </c>
      <c r="AK21" s="41">
        <f t="shared" si="3"/>
        <v>0.99422706863373955</v>
      </c>
      <c r="AL21" s="41">
        <f t="shared" si="4"/>
        <v>0.23075647784370323</v>
      </c>
      <c r="AM21" s="256"/>
    </row>
    <row r="22" spans="1:39" ht="12.75" customHeight="1" x14ac:dyDescent="0.2">
      <c r="A22" s="310">
        <f t="shared" ref="A22:A62" si="21">A20+1</f>
        <v>46031</v>
      </c>
      <c r="B22" s="323">
        <f t="shared" ref="B22" si="22">A22</f>
        <v>46031</v>
      </c>
      <c r="C22" s="50" t="s">
        <v>23</v>
      </c>
      <c r="D22" s="37" t="s">
        <v>95</v>
      </c>
      <c r="E22" s="278"/>
      <c r="F22" s="223"/>
      <c r="G22" s="224"/>
      <c r="H22" s="261"/>
      <c r="I22" s="51">
        <f t="shared" si="20"/>
        <v>0</v>
      </c>
      <c r="J22" s="52">
        <f t="shared" si="6"/>
        <v>0</v>
      </c>
      <c r="K22" s="226"/>
      <c r="L22" s="226"/>
      <c r="M22" s="226"/>
      <c r="N22" s="226"/>
      <c r="O22" s="226"/>
      <c r="P22" s="226"/>
      <c r="Q22" s="226"/>
      <c r="R22" s="226"/>
      <c r="S22" s="226"/>
      <c r="T22" s="226" t="s">
        <v>106</v>
      </c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53">
        <f t="shared" si="9"/>
        <v>0</v>
      </c>
      <c r="AI22" s="39" t="str">
        <f t="shared" si="7"/>
        <v>0</v>
      </c>
      <c r="AJ22" s="39" t="str">
        <f t="shared" si="8"/>
        <v>0</v>
      </c>
      <c r="AK22" s="39" t="str">
        <f t="shared" si="3"/>
        <v>0</v>
      </c>
      <c r="AL22" s="39">
        <f t="shared" si="4"/>
        <v>0</v>
      </c>
      <c r="AM22" s="243"/>
    </row>
    <row r="23" spans="1:39" ht="12.75" customHeight="1" thickBot="1" x14ac:dyDescent="0.25">
      <c r="A23" s="312"/>
      <c r="B23" s="325"/>
      <c r="C23" s="54" t="s">
        <v>23</v>
      </c>
      <c r="D23" s="55" t="s">
        <v>96</v>
      </c>
      <c r="E23" s="293"/>
      <c r="F23" s="235"/>
      <c r="G23" s="236"/>
      <c r="H23" s="294"/>
      <c r="I23" s="279">
        <f t="shared" si="20"/>
        <v>0</v>
      </c>
      <c r="J23" s="56">
        <f t="shared" si="6"/>
        <v>0</v>
      </c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8"/>
      <c r="W23" s="238"/>
      <c r="X23" s="238"/>
      <c r="Y23" s="238"/>
      <c r="Z23" s="238"/>
      <c r="AA23" s="238"/>
      <c r="AB23" s="238"/>
      <c r="AC23" s="238"/>
      <c r="AD23" s="238"/>
      <c r="AE23" s="238"/>
      <c r="AF23" s="238"/>
      <c r="AG23" s="238"/>
      <c r="AH23" s="57">
        <f t="shared" si="9"/>
        <v>0</v>
      </c>
      <c r="AI23" s="41" t="str">
        <f t="shared" si="7"/>
        <v>0</v>
      </c>
      <c r="AJ23" s="41" t="str">
        <f t="shared" si="8"/>
        <v>0</v>
      </c>
      <c r="AK23" s="41" t="str">
        <f t="shared" si="3"/>
        <v>0</v>
      </c>
      <c r="AL23" s="41">
        <f t="shared" si="4"/>
        <v>0</v>
      </c>
      <c r="AM23" s="256"/>
    </row>
    <row r="24" spans="1:39" ht="12.75" customHeight="1" x14ac:dyDescent="0.2">
      <c r="A24" s="310">
        <f t="shared" ref="A24:A64" si="23">A22+1</f>
        <v>46032</v>
      </c>
      <c r="B24" s="323">
        <f t="shared" ref="B24" si="24">A24</f>
        <v>46032</v>
      </c>
      <c r="C24" s="50" t="s">
        <v>23</v>
      </c>
      <c r="D24" s="37" t="s">
        <v>95</v>
      </c>
      <c r="E24" s="278">
        <v>3200</v>
      </c>
      <c r="F24" s="223">
        <v>1600</v>
      </c>
      <c r="G24" s="224">
        <v>12</v>
      </c>
      <c r="H24" s="261">
        <v>1440</v>
      </c>
      <c r="I24" s="51">
        <f t="shared" si="20"/>
        <v>180</v>
      </c>
      <c r="J24" s="52">
        <f t="shared" si="6"/>
        <v>720</v>
      </c>
      <c r="K24" s="226"/>
      <c r="L24" s="226"/>
      <c r="M24" s="226">
        <v>720</v>
      </c>
      <c r="N24" s="226"/>
      <c r="O24" s="226"/>
      <c r="P24" s="226"/>
      <c r="Q24" s="226"/>
      <c r="R24" s="226"/>
      <c r="S24" s="226"/>
      <c r="T24" s="226"/>
      <c r="U24" s="226"/>
      <c r="V24" s="226"/>
      <c r="W24" s="226"/>
      <c r="X24" s="226"/>
      <c r="Y24" s="226"/>
      <c r="Z24" s="226"/>
      <c r="AA24" s="226"/>
      <c r="AB24" s="226"/>
      <c r="AC24" s="226"/>
      <c r="AD24" s="226"/>
      <c r="AE24" s="226"/>
      <c r="AF24" s="226"/>
      <c r="AG24" s="226"/>
      <c r="AH24" s="53">
        <f t="shared" si="9"/>
        <v>720</v>
      </c>
      <c r="AI24" s="39">
        <f t="shared" si="7"/>
        <v>0.5</v>
      </c>
      <c r="AJ24" s="39">
        <f t="shared" si="8"/>
        <v>0.5</v>
      </c>
      <c r="AK24" s="39">
        <f t="shared" si="3"/>
        <v>0.99255583126550873</v>
      </c>
      <c r="AL24" s="39">
        <f t="shared" si="4"/>
        <v>0.24813895781637718</v>
      </c>
      <c r="AM24" s="243"/>
    </row>
    <row r="25" spans="1:39" ht="12.75" customHeight="1" thickBot="1" x14ac:dyDescent="0.25">
      <c r="A25" s="312"/>
      <c r="B25" s="325"/>
      <c r="C25" s="54" t="s">
        <v>23</v>
      </c>
      <c r="D25" s="55" t="s">
        <v>96</v>
      </c>
      <c r="E25" s="293">
        <v>3200</v>
      </c>
      <c r="F25" s="235">
        <v>1600</v>
      </c>
      <c r="G25" s="236">
        <v>7</v>
      </c>
      <c r="H25" s="294">
        <v>1440</v>
      </c>
      <c r="I25" s="279">
        <f t="shared" si="20"/>
        <v>180</v>
      </c>
      <c r="J25" s="56">
        <f t="shared" si="6"/>
        <v>720</v>
      </c>
      <c r="K25" s="238"/>
      <c r="L25" s="238"/>
      <c r="M25" s="238">
        <v>720</v>
      </c>
      <c r="N25" s="238"/>
      <c r="O25" s="238"/>
      <c r="P25" s="238"/>
      <c r="Q25" s="238"/>
      <c r="R25" s="238"/>
      <c r="S25" s="238"/>
      <c r="T25" s="238"/>
      <c r="U25" s="238"/>
      <c r="V25" s="238"/>
      <c r="W25" s="238"/>
      <c r="X25" s="238"/>
      <c r="Y25" s="238"/>
      <c r="Z25" s="238"/>
      <c r="AA25" s="238"/>
      <c r="AB25" s="238"/>
      <c r="AC25" s="238"/>
      <c r="AD25" s="238"/>
      <c r="AE25" s="238"/>
      <c r="AF25" s="238"/>
      <c r="AG25" s="238"/>
      <c r="AH25" s="57">
        <f t="shared" si="9"/>
        <v>720</v>
      </c>
      <c r="AI25" s="41">
        <f t="shared" si="7"/>
        <v>0.5</v>
      </c>
      <c r="AJ25" s="41">
        <f t="shared" si="8"/>
        <v>0.5</v>
      </c>
      <c r="AK25" s="41">
        <f t="shared" si="3"/>
        <v>0.99564405724953331</v>
      </c>
      <c r="AL25" s="41">
        <f t="shared" si="4"/>
        <v>0.24891101431238333</v>
      </c>
      <c r="AM25" s="256"/>
    </row>
    <row r="26" spans="1:39" ht="12.75" customHeight="1" x14ac:dyDescent="0.2">
      <c r="A26" s="310">
        <f t="shared" ref="A26:A66" si="25">A24+1</f>
        <v>46033</v>
      </c>
      <c r="B26" s="323">
        <f t="shared" ref="B26" si="26">A26</f>
        <v>46033</v>
      </c>
      <c r="C26" s="50" t="s">
        <v>23</v>
      </c>
      <c r="D26" s="37" t="s">
        <v>95</v>
      </c>
      <c r="E26" s="278">
        <v>3200</v>
      </c>
      <c r="F26" s="223">
        <v>1600</v>
      </c>
      <c r="G26" s="224">
        <v>9</v>
      </c>
      <c r="H26" s="261">
        <v>1440</v>
      </c>
      <c r="I26" s="51">
        <f t="shared" si="20"/>
        <v>180</v>
      </c>
      <c r="J26" s="52">
        <f t="shared" si="6"/>
        <v>720</v>
      </c>
      <c r="K26" s="226"/>
      <c r="L26" s="226"/>
      <c r="M26" s="226">
        <v>720</v>
      </c>
      <c r="N26" s="226"/>
      <c r="O26" s="226"/>
      <c r="P26" s="226"/>
      <c r="Q26" s="226"/>
      <c r="R26" s="226"/>
      <c r="S26" s="226"/>
      <c r="T26" s="226"/>
      <c r="U26" s="226"/>
      <c r="V26" s="226"/>
      <c r="W26" s="226"/>
      <c r="X26" s="226"/>
      <c r="Y26" s="226"/>
      <c r="Z26" s="226"/>
      <c r="AA26" s="226"/>
      <c r="AB26" s="226"/>
      <c r="AC26" s="226"/>
      <c r="AD26" s="226"/>
      <c r="AE26" s="226"/>
      <c r="AF26" s="226"/>
      <c r="AG26" s="226"/>
      <c r="AH26" s="53">
        <f t="shared" si="9"/>
        <v>720</v>
      </c>
      <c r="AI26" s="39">
        <f t="shared" si="7"/>
        <v>0.5</v>
      </c>
      <c r="AJ26" s="39">
        <f t="shared" si="8"/>
        <v>0.5</v>
      </c>
      <c r="AK26" s="39">
        <f t="shared" si="3"/>
        <v>0.99440646364201368</v>
      </c>
      <c r="AL26" s="39">
        <f t="shared" si="4"/>
        <v>0.24860161591050342</v>
      </c>
      <c r="AM26" s="243"/>
    </row>
    <row r="27" spans="1:39" ht="12.75" customHeight="1" thickBot="1" x14ac:dyDescent="0.25">
      <c r="A27" s="312"/>
      <c r="B27" s="325"/>
      <c r="C27" s="54" t="s">
        <v>23</v>
      </c>
      <c r="D27" s="55" t="s">
        <v>96</v>
      </c>
      <c r="E27" s="293">
        <v>3200</v>
      </c>
      <c r="F27" s="235">
        <v>1600</v>
      </c>
      <c r="G27" s="236">
        <v>5</v>
      </c>
      <c r="H27" s="294">
        <v>1440</v>
      </c>
      <c r="I27" s="279">
        <f t="shared" si="20"/>
        <v>180</v>
      </c>
      <c r="J27" s="56">
        <f t="shared" si="6"/>
        <v>720</v>
      </c>
      <c r="K27" s="238"/>
      <c r="L27" s="238"/>
      <c r="M27" s="238">
        <v>720</v>
      </c>
      <c r="N27" s="238"/>
      <c r="O27" s="238"/>
      <c r="P27" s="238"/>
      <c r="Q27" s="238"/>
      <c r="R27" s="238"/>
      <c r="S27" s="238"/>
      <c r="T27" s="238"/>
      <c r="U27" s="238"/>
      <c r="V27" s="238"/>
      <c r="W27" s="238"/>
      <c r="X27" s="238"/>
      <c r="Y27" s="238"/>
      <c r="Z27" s="238"/>
      <c r="AA27" s="238"/>
      <c r="AB27" s="238"/>
      <c r="AC27" s="238"/>
      <c r="AD27" s="238"/>
      <c r="AE27" s="238"/>
      <c r="AF27" s="238"/>
      <c r="AG27" s="238"/>
      <c r="AH27" s="57">
        <f t="shared" si="9"/>
        <v>720</v>
      </c>
      <c r="AI27" s="41">
        <f t="shared" si="7"/>
        <v>0.5</v>
      </c>
      <c r="AJ27" s="41">
        <f t="shared" si="8"/>
        <v>0.5</v>
      </c>
      <c r="AK27" s="41">
        <f t="shared" si="3"/>
        <v>0.99688473520249221</v>
      </c>
      <c r="AL27" s="41">
        <f t="shared" si="4"/>
        <v>0.24922118380062305</v>
      </c>
      <c r="AM27" s="256"/>
    </row>
    <row r="28" spans="1:39" ht="12.75" customHeight="1" x14ac:dyDescent="0.2">
      <c r="A28" s="310">
        <f t="shared" ref="A28" si="27">A26+1</f>
        <v>46034</v>
      </c>
      <c r="B28" s="323">
        <f t="shared" ref="B28" si="28">A28</f>
        <v>46034</v>
      </c>
      <c r="C28" s="50" t="s">
        <v>23</v>
      </c>
      <c r="D28" s="37" t="s">
        <v>95</v>
      </c>
      <c r="E28" s="278">
        <v>3200</v>
      </c>
      <c r="F28" s="223">
        <v>1571</v>
      </c>
      <c r="G28" s="224">
        <v>30</v>
      </c>
      <c r="H28" s="261">
        <v>1440</v>
      </c>
      <c r="I28" s="51">
        <f t="shared" si="20"/>
        <v>180</v>
      </c>
      <c r="J28" s="52">
        <f t="shared" si="6"/>
        <v>720</v>
      </c>
      <c r="K28" s="226"/>
      <c r="L28" s="226"/>
      <c r="M28" s="226">
        <v>720</v>
      </c>
      <c r="N28" s="226"/>
      <c r="O28" s="226"/>
      <c r="P28" s="226"/>
      <c r="Q28" s="226"/>
      <c r="R28" s="226"/>
      <c r="S28" s="226"/>
      <c r="T28" s="226"/>
      <c r="U28" s="226"/>
      <c r="V28" s="226"/>
      <c r="W28" s="226"/>
      <c r="X28" s="226"/>
      <c r="Y28" s="226"/>
      <c r="Z28" s="226"/>
      <c r="AA28" s="226"/>
      <c r="AB28" s="226"/>
      <c r="AC28" s="226"/>
      <c r="AD28" s="226"/>
      <c r="AE28" s="226"/>
      <c r="AF28" s="226"/>
      <c r="AG28" s="226"/>
      <c r="AH28" s="53">
        <f t="shared" si="9"/>
        <v>720</v>
      </c>
      <c r="AI28" s="39">
        <f t="shared" si="7"/>
        <v>0.5</v>
      </c>
      <c r="AJ28" s="39">
        <f t="shared" si="8"/>
        <v>0.49093750000000003</v>
      </c>
      <c r="AK28" s="39">
        <f t="shared" si="3"/>
        <v>0.98126171143035601</v>
      </c>
      <c r="AL28" s="39">
        <f t="shared" si="4"/>
        <v>0.24086908572767021</v>
      </c>
      <c r="AM28" s="243"/>
    </row>
    <row r="29" spans="1:39" ht="12.75" customHeight="1" thickBot="1" x14ac:dyDescent="0.25">
      <c r="A29" s="312"/>
      <c r="B29" s="325"/>
      <c r="C29" s="54" t="s">
        <v>23</v>
      </c>
      <c r="D29" s="55" t="s">
        <v>96</v>
      </c>
      <c r="E29" s="293">
        <v>3200</v>
      </c>
      <c r="F29" s="235">
        <v>1600</v>
      </c>
      <c r="G29" s="236">
        <v>12</v>
      </c>
      <c r="H29" s="294">
        <v>1440</v>
      </c>
      <c r="I29" s="279">
        <f t="shared" si="20"/>
        <v>180</v>
      </c>
      <c r="J29" s="56">
        <f t="shared" si="6"/>
        <v>720</v>
      </c>
      <c r="K29" s="238"/>
      <c r="L29" s="238"/>
      <c r="M29" s="238">
        <v>720</v>
      </c>
      <c r="N29" s="238"/>
      <c r="O29" s="238"/>
      <c r="P29" s="238"/>
      <c r="Q29" s="238"/>
      <c r="R29" s="238"/>
      <c r="S29" s="238"/>
      <c r="T29" s="238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57">
        <f t="shared" si="9"/>
        <v>720</v>
      </c>
      <c r="AI29" s="41">
        <f t="shared" si="7"/>
        <v>0.5</v>
      </c>
      <c r="AJ29" s="41">
        <f t="shared" si="8"/>
        <v>0.5</v>
      </c>
      <c r="AK29" s="41">
        <f t="shared" si="3"/>
        <v>0.99255583126550873</v>
      </c>
      <c r="AL29" s="41">
        <f t="shared" si="4"/>
        <v>0.24813895781637718</v>
      </c>
      <c r="AM29" s="256"/>
    </row>
    <row r="30" spans="1:39" ht="12.75" customHeight="1" x14ac:dyDescent="0.2">
      <c r="A30" s="310">
        <f t="shared" ref="A30" si="29">A28+1</f>
        <v>46035</v>
      </c>
      <c r="B30" s="323">
        <f t="shared" ref="B30" si="30">A30</f>
        <v>46035</v>
      </c>
      <c r="C30" s="50" t="s">
        <v>23</v>
      </c>
      <c r="D30" s="37" t="s">
        <v>95</v>
      </c>
      <c r="E30" s="278">
        <v>3200</v>
      </c>
      <c r="F30" s="223">
        <v>1600</v>
      </c>
      <c r="G30" s="224">
        <v>18</v>
      </c>
      <c r="H30" s="261">
        <v>1440</v>
      </c>
      <c r="I30" s="51">
        <f t="shared" si="20"/>
        <v>180</v>
      </c>
      <c r="J30" s="52">
        <f t="shared" si="6"/>
        <v>720</v>
      </c>
      <c r="K30" s="226"/>
      <c r="L30" s="226"/>
      <c r="M30" s="226">
        <v>720</v>
      </c>
      <c r="N30" s="226"/>
      <c r="O30" s="226"/>
      <c r="P30" s="226"/>
      <c r="Q30" s="226"/>
      <c r="R30" s="226"/>
      <c r="S30" s="226"/>
      <c r="T30" s="226"/>
      <c r="U30" s="226"/>
      <c r="V30" s="226"/>
      <c r="W30" s="226"/>
      <c r="X30" s="226"/>
      <c r="Y30" s="226"/>
      <c r="Z30" s="226"/>
      <c r="AA30" s="226"/>
      <c r="AB30" s="226"/>
      <c r="AC30" s="226"/>
      <c r="AD30" s="226"/>
      <c r="AE30" s="226"/>
      <c r="AF30" s="226"/>
      <c r="AG30" s="226"/>
      <c r="AH30" s="53">
        <f t="shared" si="9"/>
        <v>720</v>
      </c>
      <c r="AI30" s="39">
        <f t="shared" si="7"/>
        <v>0.5</v>
      </c>
      <c r="AJ30" s="39">
        <f t="shared" si="8"/>
        <v>0.5</v>
      </c>
      <c r="AK30" s="39">
        <f t="shared" si="3"/>
        <v>0.9888751545117429</v>
      </c>
      <c r="AL30" s="39">
        <f t="shared" si="4"/>
        <v>0.24721878862793573</v>
      </c>
      <c r="AM30" s="243"/>
    </row>
    <row r="31" spans="1:39" ht="12.75" customHeight="1" thickBot="1" x14ac:dyDescent="0.25">
      <c r="A31" s="312"/>
      <c r="B31" s="325"/>
      <c r="C31" s="54" t="s">
        <v>23</v>
      </c>
      <c r="D31" s="55" t="s">
        <v>96</v>
      </c>
      <c r="E31" s="293">
        <v>3200</v>
      </c>
      <c r="F31" s="235">
        <v>1600</v>
      </c>
      <c r="G31" s="236">
        <v>8</v>
      </c>
      <c r="H31" s="294">
        <v>1440</v>
      </c>
      <c r="I31" s="279">
        <f t="shared" si="20"/>
        <v>180</v>
      </c>
      <c r="J31" s="56">
        <f t="shared" si="6"/>
        <v>720</v>
      </c>
      <c r="K31" s="238"/>
      <c r="L31" s="238"/>
      <c r="M31" s="238">
        <v>720</v>
      </c>
      <c r="N31" s="238"/>
      <c r="O31" s="238"/>
      <c r="P31" s="238"/>
      <c r="Q31" s="238"/>
      <c r="R31" s="238"/>
      <c r="S31" s="238"/>
      <c r="T31" s="238"/>
      <c r="U31" s="238"/>
      <c r="V31" s="238"/>
      <c r="W31" s="238"/>
      <c r="X31" s="238"/>
      <c r="Y31" s="238"/>
      <c r="Z31" s="238"/>
      <c r="AA31" s="238"/>
      <c r="AB31" s="238"/>
      <c r="AC31" s="238"/>
      <c r="AD31" s="238"/>
      <c r="AE31" s="238"/>
      <c r="AF31" s="238"/>
      <c r="AG31" s="238"/>
      <c r="AH31" s="57">
        <f t="shared" si="9"/>
        <v>720</v>
      </c>
      <c r="AI31" s="41">
        <f t="shared" si="7"/>
        <v>0.5</v>
      </c>
      <c r="AJ31" s="41">
        <f t="shared" si="8"/>
        <v>0.5</v>
      </c>
      <c r="AK31" s="41">
        <f t="shared" si="3"/>
        <v>0.99502487562189057</v>
      </c>
      <c r="AL31" s="41">
        <f t="shared" si="4"/>
        <v>0.24875621890547264</v>
      </c>
      <c r="AM31" s="256"/>
    </row>
    <row r="32" spans="1:39" ht="12.75" customHeight="1" x14ac:dyDescent="0.2">
      <c r="A32" s="310">
        <f t="shared" si="21"/>
        <v>46036</v>
      </c>
      <c r="B32" s="323">
        <f t="shared" ref="B32" si="31">A32</f>
        <v>46036</v>
      </c>
      <c r="C32" s="50" t="s">
        <v>23</v>
      </c>
      <c r="D32" s="37" t="s">
        <v>95</v>
      </c>
      <c r="E32" s="278">
        <v>3200</v>
      </c>
      <c r="F32" s="223">
        <v>1500</v>
      </c>
      <c r="G32" s="224">
        <v>11</v>
      </c>
      <c r="H32" s="261">
        <v>1440</v>
      </c>
      <c r="I32" s="51">
        <f t="shared" si="20"/>
        <v>180</v>
      </c>
      <c r="J32" s="52">
        <f t="shared" si="6"/>
        <v>675</v>
      </c>
      <c r="K32" s="226"/>
      <c r="L32" s="226"/>
      <c r="M32" s="226">
        <v>720</v>
      </c>
      <c r="N32" s="226"/>
      <c r="O32" s="226"/>
      <c r="P32" s="226"/>
      <c r="Q32" s="226"/>
      <c r="R32" s="226"/>
      <c r="S32" s="226"/>
      <c r="T32" s="226"/>
      <c r="U32" s="226"/>
      <c r="V32" s="226"/>
      <c r="W32" s="226"/>
      <c r="X32" s="226"/>
      <c r="Y32" s="226"/>
      <c r="Z32" s="226"/>
      <c r="AA32" s="226"/>
      <c r="AB32" s="226"/>
      <c r="AC32" s="226"/>
      <c r="AD32" s="226">
        <v>45</v>
      </c>
      <c r="AE32" s="226"/>
      <c r="AF32" s="226"/>
      <c r="AG32" s="226"/>
      <c r="AH32" s="53">
        <f t="shared" si="9"/>
        <v>765</v>
      </c>
      <c r="AI32" s="39">
        <f t="shared" si="7"/>
        <v>0.46875</v>
      </c>
      <c r="AJ32" s="39">
        <f t="shared" si="8"/>
        <v>0.46875</v>
      </c>
      <c r="AK32" s="39">
        <f t="shared" si="3"/>
        <v>0.99272005294506949</v>
      </c>
      <c r="AL32" s="39">
        <f t="shared" si="4"/>
        <v>0.21812696475843812</v>
      </c>
      <c r="AM32" s="243"/>
    </row>
    <row r="33" spans="1:39" ht="12.75" customHeight="1" thickBot="1" x14ac:dyDescent="0.25">
      <c r="A33" s="312"/>
      <c r="B33" s="325"/>
      <c r="C33" s="54" t="s">
        <v>23</v>
      </c>
      <c r="D33" s="55" t="s">
        <v>96</v>
      </c>
      <c r="E33" s="293">
        <v>3200</v>
      </c>
      <c r="F33" s="235">
        <v>1500</v>
      </c>
      <c r="G33" s="236">
        <v>6</v>
      </c>
      <c r="H33" s="294">
        <v>1440</v>
      </c>
      <c r="I33" s="279">
        <f t="shared" si="20"/>
        <v>180</v>
      </c>
      <c r="J33" s="56">
        <f t="shared" si="6"/>
        <v>675</v>
      </c>
      <c r="K33" s="238"/>
      <c r="L33" s="238"/>
      <c r="M33" s="238">
        <v>720</v>
      </c>
      <c r="N33" s="238"/>
      <c r="O33" s="238"/>
      <c r="P33" s="238"/>
      <c r="Q33" s="238"/>
      <c r="R33" s="238"/>
      <c r="S33" s="238"/>
      <c r="T33" s="238"/>
      <c r="U33" s="238"/>
      <c r="V33" s="238"/>
      <c r="W33" s="238"/>
      <c r="X33" s="238"/>
      <c r="Y33" s="238"/>
      <c r="Z33" s="238"/>
      <c r="AA33" s="238"/>
      <c r="AB33" s="238"/>
      <c r="AC33" s="238"/>
      <c r="AD33" s="238">
        <v>45</v>
      </c>
      <c r="AE33" s="238"/>
      <c r="AF33" s="238"/>
      <c r="AG33" s="238"/>
      <c r="AH33" s="57">
        <f t="shared" si="9"/>
        <v>765</v>
      </c>
      <c r="AI33" s="41">
        <f t="shared" si="7"/>
        <v>0.46875</v>
      </c>
      <c r="AJ33" s="41">
        <f t="shared" si="8"/>
        <v>0.46875</v>
      </c>
      <c r="AK33" s="41">
        <f t="shared" si="3"/>
        <v>0.99601593625498008</v>
      </c>
      <c r="AL33" s="41">
        <f t="shared" si="4"/>
        <v>0.21885115786852588</v>
      </c>
      <c r="AM33" s="256"/>
    </row>
    <row r="34" spans="1:39" ht="12.75" customHeight="1" x14ac:dyDescent="0.2">
      <c r="A34" s="310">
        <f t="shared" si="23"/>
        <v>46037</v>
      </c>
      <c r="B34" s="323">
        <f t="shared" ref="B34" si="32">A34</f>
        <v>46037</v>
      </c>
      <c r="C34" s="50" t="s">
        <v>23</v>
      </c>
      <c r="D34" s="37" t="s">
        <v>95</v>
      </c>
      <c r="E34" s="278">
        <v>3200</v>
      </c>
      <c r="F34" s="223">
        <v>1480</v>
      </c>
      <c r="G34" s="224">
        <v>20</v>
      </c>
      <c r="H34" s="261">
        <v>1440</v>
      </c>
      <c r="I34" s="51">
        <f t="shared" si="20"/>
        <v>180</v>
      </c>
      <c r="J34" s="52">
        <f t="shared" si="6"/>
        <v>665</v>
      </c>
      <c r="K34" s="226"/>
      <c r="L34" s="226"/>
      <c r="M34" s="226">
        <v>720</v>
      </c>
      <c r="N34" s="226"/>
      <c r="O34" s="226"/>
      <c r="P34" s="226"/>
      <c r="Q34" s="226">
        <v>40</v>
      </c>
      <c r="R34" s="226"/>
      <c r="S34" s="226"/>
      <c r="T34" s="226"/>
      <c r="U34" s="226"/>
      <c r="V34" s="226"/>
      <c r="W34" s="226"/>
      <c r="X34" s="226"/>
      <c r="Y34" s="226"/>
      <c r="Z34" s="226"/>
      <c r="AA34" s="226"/>
      <c r="AB34" s="226"/>
      <c r="AC34" s="226"/>
      <c r="AD34" s="226">
        <v>15</v>
      </c>
      <c r="AE34" s="226"/>
      <c r="AF34" s="226"/>
      <c r="AG34" s="226"/>
      <c r="AH34" s="53">
        <f t="shared" si="9"/>
        <v>775</v>
      </c>
      <c r="AI34" s="39">
        <f t="shared" si="7"/>
        <v>0.46180555555555558</v>
      </c>
      <c r="AJ34" s="39">
        <f t="shared" si="8"/>
        <v>0.46250000000000002</v>
      </c>
      <c r="AK34" s="39">
        <f t="shared" si="3"/>
        <v>0.98666666666666669</v>
      </c>
      <c r="AL34" s="39">
        <f t="shared" si="4"/>
        <v>0.21073726851851854</v>
      </c>
      <c r="AM34" s="243"/>
    </row>
    <row r="35" spans="1:39" ht="12.75" customHeight="1" thickBot="1" x14ac:dyDescent="0.25">
      <c r="A35" s="312"/>
      <c r="B35" s="325"/>
      <c r="C35" s="54" t="s">
        <v>23</v>
      </c>
      <c r="D35" s="55" t="s">
        <v>96</v>
      </c>
      <c r="E35" s="293">
        <v>3200</v>
      </c>
      <c r="F35" s="235">
        <v>1446</v>
      </c>
      <c r="G35" s="236">
        <v>28</v>
      </c>
      <c r="H35" s="294">
        <v>1440</v>
      </c>
      <c r="I35" s="279">
        <f t="shared" si="20"/>
        <v>180</v>
      </c>
      <c r="J35" s="56">
        <f t="shared" si="6"/>
        <v>665</v>
      </c>
      <c r="K35" s="238"/>
      <c r="L35" s="238"/>
      <c r="M35" s="238">
        <v>720</v>
      </c>
      <c r="N35" s="238"/>
      <c r="O35" s="238"/>
      <c r="P35" s="238"/>
      <c r="Q35" s="238">
        <v>40</v>
      </c>
      <c r="R35" s="238"/>
      <c r="S35" s="238"/>
      <c r="T35" s="238"/>
      <c r="U35" s="238"/>
      <c r="V35" s="238"/>
      <c r="W35" s="238"/>
      <c r="X35" s="238"/>
      <c r="Y35" s="238"/>
      <c r="Z35" s="238"/>
      <c r="AA35" s="238"/>
      <c r="AB35" s="238"/>
      <c r="AC35" s="238"/>
      <c r="AD35" s="238">
        <v>15</v>
      </c>
      <c r="AE35" s="238"/>
      <c r="AF35" s="238"/>
      <c r="AG35" s="238"/>
      <c r="AH35" s="57">
        <f t="shared" si="9"/>
        <v>775</v>
      </c>
      <c r="AI35" s="41">
        <f t="shared" si="7"/>
        <v>0.46180555555555558</v>
      </c>
      <c r="AJ35" s="41">
        <f t="shared" si="8"/>
        <v>0.45187500000000003</v>
      </c>
      <c r="AK35" s="41">
        <f t="shared" si="3"/>
        <v>0.98100407055630934</v>
      </c>
      <c r="AL35" s="41">
        <f t="shared" si="4"/>
        <v>0.2047143455308684</v>
      </c>
      <c r="AM35" s="256"/>
    </row>
    <row r="36" spans="1:39" ht="12.75" customHeight="1" x14ac:dyDescent="0.2">
      <c r="A36" s="310">
        <f t="shared" si="25"/>
        <v>46038</v>
      </c>
      <c r="B36" s="323">
        <f t="shared" ref="B36" si="33">A36</f>
        <v>46038</v>
      </c>
      <c r="C36" s="50" t="s">
        <v>23</v>
      </c>
      <c r="D36" s="37" t="s">
        <v>95</v>
      </c>
      <c r="E36" s="278">
        <v>3200</v>
      </c>
      <c r="F36" s="223">
        <v>1490</v>
      </c>
      <c r="G36" s="224">
        <v>10</v>
      </c>
      <c r="H36" s="261">
        <v>1440</v>
      </c>
      <c r="I36" s="51">
        <f t="shared" si="20"/>
        <v>180</v>
      </c>
      <c r="J36" s="52">
        <f t="shared" si="6"/>
        <v>675</v>
      </c>
      <c r="K36" s="226"/>
      <c r="L36" s="226"/>
      <c r="M36" s="226">
        <v>720</v>
      </c>
      <c r="N36" s="226"/>
      <c r="O36" s="226"/>
      <c r="P36" s="226"/>
      <c r="Q36" s="226"/>
      <c r="R36" s="226"/>
      <c r="S36" s="226"/>
      <c r="T36" s="226"/>
      <c r="U36" s="226"/>
      <c r="V36" s="226"/>
      <c r="W36" s="226"/>
      <c r="X36" s="226"/>
      <c r="Y36" s="226"/>
      <c r="Z36" s="226">
        <v>45</v>
      </c>
      <c r="AA36" s="226"/>
      <c r="AB36" s="226"/>
      <c r="AC36" s="226"/>
      <c r="AD36" s="226"/>
      <c r="AE36" s="226"/>
      <c r="AF36" s="226"/>
      <c r="AG36" s="226"/>
      <c r="AH36" s="53">
        <f t="shared" si="9"/>
        <v>765</v>
      </c>
      <c r="AI36" s="39">
        <f t="shared" si="7"/>
        <v>0.46875</v>
      </c>
      <c r="AJ36" s="39">
        <f t="shared" si="8"/>
        <v>0.46562500000000001</v>
      </c>
      <c r="AK36" s="39">
        <f t="shared" si="3"/>
        <v>0.99333333333333329</v>
      </c>
      <c r="AL36" s="39">
        <f t="shared" si="4"/>
        <v>0.21680664062499999</v>
      </c>
      <c r="AM36" s="243"/>
    </row>
    <row r="37" spans="1:39" ht="12.75" customHeight="1" thickBot="1" x14ac:dyDescent="0.25">
      <c r="A37" s="312"/>
      <c r="B37" s="325"/>
      <c r="C37" s="54" t="s">
        <v>23</v>
      </c>
      <c r="D37" s="55" t="s">
        <v>96</v>
      </c>
      <c r="E37" s="293">
        <v>3200</v>
      </c>
      <c r="F37" s="235">
        <v>1483</v>
      </c>
      <c r="G37" s="236">
        <v>17</v>
      </c>
      <c r="H37" s="294">
        <v>1440</v>
      </c>
      <c r="I37" s="279">
        <f t="shared" si="20"/>
        <v>180</v>
      </c>
      <c r="J37" s="56">
        <f t="shared" si="6"/>
        <v>675</v>
      </c>
      <c r="K37" s="238"/>
      <c r="L37" s="238"/>
      <c r="M37" s="238">
        <v>720</v>
      </c>
      <c r="N37" s="238"/>
      <c r="O37" s="238"/>
      <c r="P37" s="238"/>
      <c r="Q37" s="238"/>
      <c r="R37" s="238"/>
      <c r="S37" s="238"/>
      <c r="T37" s="238"/>
      <c r="U37" s="238"/>
      <c r="V37" s="238"/>
      <c r="W37" s="238"/>
      <c r="X37" s="238"/>
      <c r="Y37" s="238"/>
      <c r="Z37" s="238">
        <v>45</v>
      </c>
      <c r="AA37" s="238"/>
      <c r="AB37" s="238"/>
      <c r="AC37" s="238"/>
      <c r="AD37" s="238"/>
      <c r="AE37" s="238"/>
      <c r="AF37" s="238"/>
      <c r="AG37" s="238"/>
      <c r="AH37" s="57">
        <f t="shared" si="9"/>
        <v>765</v>
      </c>
      <c r="AI37" s="41">
        <f t="shared" si="7"/>
        <v>0.46875</v>
      </c>
      <c r="AJ37" s="41">
        <f t="shared" si="8"/>
        <v>0.4634375</v>
      </c>
      <c r="AK37" s="41">
        <f t="shared" si="3"/>
        <v>0.98866666666666669</v>
      </c>
      <c r="AL37" s="41">
        <f t="shared" si="4"/>
        <v>0.21477431640625003</v>
      </c>
      <c r="AM37" s="256"/>
    </row>
    <row r="38" spans="1:39" ht="12.75" customHeight="1" x14ac:dyDescent="0.2">
      <c r="A38" s="310">
        <f t="shared" ref="A38" si="34">A36+1</f>
        <v>46039</v>
      </c>
      <c r="B38" s="323">
        <f t="shared" ref="B38" si="35">A38</f>
        <v>46039</v>
      </c>
      <c r="C38" s="50" t="s">
        <v>23</v>
      </c>
      <c r="D38" s="37" t="s">
        <v>95</v>
      </c>
      <c r="E38" s="278">
        <v>3200</v>
      </c>
      <c r="F38" s="223">
        <v>1600</v>
      </c>
      <c r="G38" s="224"/>
      <c r="H38" s="261">
        <v>1440</v>
      </c>
      <c r="I38" s="51">
        <f t="shared" si="20"/>
        <v>180</v>
      </c>
      <c r="J38" s="52">
        <f t="shared" si="6"/>
        <v>720</v>
      </c>
      <c r="K38" s="226"/>
      <c r="L38" s="226"/>
      <c r="M38" s="226">
        <v>720</v>
      </c>
      <c r="N38" s="226"/>
      <c r="O38" s="226"/>
      <c r="P38" s="226"/>
      <c r="Q38" s="226"/>
      <c r="R38" s="226"/>
      <c r="S38" s="226"/>
      <c r="T38" s="226"/>
      <c r="U38" s="226"/>
      <c r="V38" s="226"/>
      <c r="W38" s="226"/>
      <c r="X38" s="226"/>
      <c r="Y38" s="226"/>
      <c r="Z38" s="226"/>
      <c r="AA38" s="226"/>
      <c r="AB38" s="226"/>
      <c r="AC38" s="226"/>
      <c r="AD38" s="226"/>
      <c r="AE38" s="226"/>
      <c r="AF38" s="226"/>
      <c r="AG38" s="226"/>
      <c r="AH38" s="53">
        <f t="shared" si="9"/>
        <v>720</v>
      </c>
      <c r="AI38" s="39">
        <f t="shared" si="7"/>
        <v>0.5</v>
      </c>
      <c r="AJ38" s="39">
        <f t="shared" si="8"/>
        <v>0.5</v>
      </c>
      <c r="AK38" s="39">
        <f t="shared" si="3"/>
        <v>1</v>
      </c>
      <c r="AL38" s="39">
        <f t="shared" si="4"/>
        <v>0.25</v>
      </c>
      <c r="AM38" s="243"/>
    </row>
    <row r="39" spans="1:39" ht="12.75" customHeight="1" thickBot="1" x14ac:dyDescent="0.25">
      <c r="A39" s="312"/>
      <c r="B39" s="325"/>
      <c r="C39" s="54" t="s">
        <v>23</v>
      </c>
      <c r="D39" s="55" t="s">
        <v>96</v>
      </c>
      <c r="E39" s="293">
        <v>3200</v>
      </c>
      <c r="F39" s="235">
        <v>1600</v>
      </c>
      <c r="G39" s="236"/>
      <c r="H39" s="294">
        <v>1440</v>
      </c>
      <c r="I39" s="279">
        <f t="shared" si="20"/>
        <v>180</v>
      </c>
      <c r="J39" s="56">
        <f t="shared" si="6"/>
        <v>720</v>
      </c>
      <c r="K39" s="238"/>
      <c r="L39" s="238"/>
      <c r="M39" s="238">
        <v>720</v>
      </c>
      <c r="N39" s="238"/>
      <c r="O39" s="238"/>
      <c r="P39" s="238"/>
      <c r="Q39" s="238"/>
      <c r="R39" s="238"/>
      <c r="S39" s="238"/>
      <c r="T39" s="238"/>
      <c r="U39" s="238"/>
      <c r="V39" s="238"/>
      <c r="W39" s="238"/>
      <c r="X39" s="238"/>
      <c r="Y39" s="238"/>
      <c r="Z39" s="238"/>
      <c r="AA39" s="238"/>
      <c r="AB39" s="238"/>
      <c r="AC39" s="238"/>
      <c r="AD39" s="238"/>
      <c r="AE39" s="238"/>
      <c r="AF39" s="238"/>
      <c r="AG39" s="238"/>
      <c r="AH39" s="57">
        <f t="shared" si="9"/>
        <v>720</v>
      </c>
      <c r="AI39" s="41">
        <f t="shared" si="7"/>
        <v>0.5</v>
      </c>
      <c r="AJ39" s="41">
        <f t="shared" si="8"/>
        <v>0.5</v>
      </c>
      <c r="AK39" s="41">
        <f t="shared" si="3"/>
        <v>1</v>
      </c>
      <c r="AL39" s="41">
        <f t="shared" si="4"/>
        <v>0.25</v>
      </c>
      <c r="AM39" s="256"/>
    </row>
    <row r="40" spans="1:39" ht="12.75" customHeight="1" x14ac:dyDescent="0.2">
      <c r="A40" s="310">
        <f t="shared" ref="A40" si="36">A38+1</f>
        <v>46040</v>
      </c>
      <c r="B40" s="323">
        <f t="shared" ref="B40" si="37">A40</f>
        <v>46040</v>
      </c>
      <c r="C40" s="50" t="s">
        <v>23</v>
      </c>
      <c r="D40" s="37" t="s">
        <v>95</v>
      </c>
      <c r="E40" s="278">
        <v>3200</v>
      </c>
      <c r="F40" s="223">
        <v>1600</v>
      </c>
      <c r="G40" s="224"/>
      <c r="H40" s="261">
        <v>1440</v>
      </c>
      <c r="I40" s="51">
        <f t="shared" si="20"/>
        <v>180</v>
      </c>
      <c r="J40" s="52">
        <f t="shared" si="6"/>
        <v>720</v>
      </c>
      <c r="K40" s="226"/>
      <c r="L40" s="226"/>
      <c r="M40" s="226">
        <v>720</v>
      </c>
      <c r="N40" s="226"/>
      <c r="O40" s="226"/>
      <c r="P40" s="226"/>
      <c r="Q40" s="226"/>
      <c r="R40" s="226"/>
      <c r="S40" s="226"/>
      <c r="T40" s="226"/>
      <c r="U40" s="226"/>
      <c r="V40" s="226"/>
      <c r="W40" s="226"/>
      <c r="X40" s="226"/>
      <c r="Y40" s="226"/>
      <c r="Z40" s="226"/>
      <c r="AA40" s="226"/>
      <c r="AB40" s="226"/>
      <c r="AC40" s="226"/>
      <c r="AD40" s="226"/>
      <c r="AE40" s="226"/>
      <c r="AF40" s="226"/>
      <c r="AG40" s="226"/>
      <c r="AH40" s="53">
        <f t="shared" si="9"/>
        <v>720</v>
      </c>
      <c r="AI40" s="39">
        <f t="shared" si="7"/>
        <v>0.5</v>
      </c>
      <c r="AJ40" s="39">
        <f t="shared" si="8"/>
        <v>0.5</v>
      </c>
      <c r="AK40" s="39">
        <f t="shared" si="3"/>
        <v>1</v>
      </c>
      <c r="AL40" s="39">
        <f t="shared" si="4"/>
        <v>0.25</v>
      </c>
      <c r="AM40" s="243"/>
    </row>
    <row r="41" spans="1:39" ht="12.75" customHeight="1" thickBot="1" x14ac:dyDescent="0.25">
      <c r="A41" s="312"/>
      <c r="B41" s="325"/>
      <c r="C41" s="54" t="s">
        <v>23</v>
      </c>
      <c r="D41" s="55" t="s">
        <v>96</v>
      </c>
      <c r="E41" s="293">
        <v>3200</v>
      </c>
      <c r="F41" s="235">
        <v>1600</v>
      </c>
      <c r="G41" s="236"/>
      <c r="H41" s="294">
        <v>1440</v>
      </c>
      <c r="I41" s="279">
        <f t="shared" si="20"/>
        <v>180</v>
      </c>
      <c r="J41" s="56">
        <f t="shared" si="6"/>
        <v>720</v>
      </c>
      <c r="K41" s="238"/>
      <c r="L41" s="238"/>
      <c r="M41" s="238">
        <v>720</v>
      </c>
      <c r="N41" s="238"/>
      <c r="O41" s="238"/>
      <c r="P41" s="238"/>
      <c r="Q41" s="238"/>
      <c r="R41" s="238"/>
      <c r="S41" s="238"/>
      <c r="T41" s="238"/>
      <c r="U41" s="238"/>
      <c r="V41" s="238"/>
      <c r="W41" s="238"/>
      <c r="X41" s="238"/>
      <c r="Y41" s="238"/>
      <c r="Z41" s="238"/>
      <c r="AA41" s="238"/>
      <c r="AB41" s="238"/>
      <c r="AC41" s="238"/>
      <c r="AD41" s="238"/>
      <c r="AE41" s="238"/>
      <c r="AF41" s="238"/>
      <c r="AG41" s="238"/>
      <c r="AH41" s="57">
        <f t="shared" si="9"/>
        <v>720</v>
      </c>
      <c r="AI41" s="41">
        <f t="shared" si="7"/>
        <v>0.5</v>
      </c>
      <c r="AJ41" s="41">
        <f t="shared" si="8"/>
        <v>0.5</v>
      </c>
      <c r="AK41" s="41">
        <f t="shared" si="3"/>
        <v>1</v>
      </c>
      <c r="AL41" s="41">
        <f t="shared" si="4"/>
        <v>0.25</v>
      </c>
      <c r="AM41" s="256"/>
    </row>
    <row r="42" spans="1:39" ht="12.75" customHeight="1" x14ac:dyDescent="0.2">
      <c r="A42" s="310">
        <f t="shared" si="21"/>
        <v>46041</v>
      </c>
      <c r="B42" s="323">
        <f t="shared" ref="B42" si="38">A42</f>
        <v>46041</v>
      </c>
      <c r="C42" s="50" t="s">
        <v>23</v>
      </c>
      <c r="D42" s="37" t="s">
        <v>95</v>
      </c>
      <c r="E42" s="278">
        <v>3200</v>
      </c>
      <c r="F42" s="223">
        <v>1600</v>
      </c>
      <c r="G42" s="224"/>
      <c r="H42" s="261">
        <v>1440</v>
      </c>
      <c r="I42" s="51">
        <f t="shared" si="20"/>
        <v>180</v>
      </c>
      <c r="J42" s="52">
        <f t="shared" si="6"/>
        <v>720</v>
      </c>
      <c r="K42" s="226"/>
      <c r="L42" s="226"/>
      <c r="M42" s="226">
        <v>720</v>
      </c>
      <c r="N42" s="226"/>
      <c r="O42" s="226"/>
      <c r="P42" s="226"/>
      <c r="Q42" s="226"/>
      <c r="R42" s="226"/>
      <c r="S42" s="226"/>
      <c r="T42" s="226"/>
      <c r="U42" s="226"/>
      <c r="V42" s="226"/>
      <c r="W42" s="226"/>
      <c r="X42" s="226"/>
      <c r="Y42" s="226"/>
      <c r="Z42" s="226"/>
      <c r="AA42" s="226"/>
      <c r="AB42" s="226"/>
      <c r="AC42" s="226"/>
      <c r="AD42" s="226"/>
      <c r="AE42" s="226"/>
      <c r="AF42" s="226"/>
      <c r="AG42" s="226"/>
      <c r="AH42" s="53">
        <f t="shared" si="9"/>
        <v>720</v>
      </c>
      <c r="AI42" s="39">
        <f t="shared" si="7"/>
        <v>0.5</v>
      </c>
      <c r="AJ42" s="39">
        <f t="shared" si="8"/>
        <v>0.5</v>
      </c>
      <c r="AK42" s="39">
        <f t="shared" si="3"/>
        <v>1</v>
      </c>
      <c r="AL42" s="39">
        <f t="shared" si="4"/>
        <v>0.25</v>
      </c>
      <c r="AM42" s="243"/>
    </row>
    <row r="43" spans="1:39" ht="12.75" customHeight="1" thickBot="1" x14ac:dyDescent="0.25">
      <c r="A43" s="312"/>
      <c r="B43" s="325"/>
      <c r="C43" s="54" t="s">
        <v>23</v>
      </c>
      <c r="D43" s="55" t="s">
        <v>96</v>
      </c>
      <c r="E43" s="293">
        <v>3200</v>
      </c>
      <c r="F43" s="235">
        <v>1600</v>
      </c>
      <c r="G43" s="236"/>
      <c r="H43" s="294">
        <v>1440</v>
      </c>
      <c r="I43" s="279">
        <f t="shared" si="20"/>
        <v>180</v>
      </c>
      <c r="J43" s="56">
        <f t="shared" si="6"/>
        <v>720</v>
      </c>
      <c r="K43" s="238"/>
      <c r="L43" s="238"/>
      <c r="M43" s="238">
        <v>720</v>
      </c>
      <c r="N43" s="238"/>
      <c r="O43" s="238"/>
      <c r="P43" s="238"/>
      <c r="Q43" s="238"/>
      <c r="R43" s="238"/>
      <c r="S43" s="238"/>
      <c r="T43" s="238"/>
      <c r="U43" s="238"/>
      <c r="V43" s="238"/>
      <c r="W43" s="238"/>
      <c r="X43" s="238"/>
      <c r="Y43" s="238"/>
      <c r="Z43" s="238"/>
      <c r="AA43" s="238"/>
      <c r="AB43" s="238"/>
      <c r="AC43" s="238"/>
      <c r="AD43" s="238"/>
      <c r="AE43" s="238"/>
      <c r="AF43" s="238"/>
      <c r="AG43" s="238"/>
      <c r="AH43" s="57">
        <f t="shared" si="9"/>
        <v>720</v>
      </c>
      <c r="AI43" s="41">
        <f t="shared" si="7"/>
        <v>0.5</v>
      </c>
      <c r="AJ43" s="41">
        <f t="shared" si="8"/>
        <v>0.5</v>
      </c>
      <c r="AK43" s="41">
        <f t="shared" si="3"/>
        <v>1</v>
      </c>
      <c r="AL43" s="41">
        <f t="shared" si="4"/>
        <v>0.25</v>
      </c>
      <c r="AM43" s="256"/>
    </row>
    <row r="44" spans="1:39" ht="12.75" customHeight="1" x14ac:dyDescent="0.2">
      <c r="A44" s="310">
        <f t="shared" si="23"/>
        <v>46042</v>
      </c>
      <c r="B44" s="323">
        <f t="shared" ref="B44" si="39">A44</f>
        <v>46042</v>
      </c>
      <c r="C44" s="50" t="s">
        <v>23</v>
      </c>
      <c r="D44" s="37" t="s">
        <v>95</v>
      </c>
      <c r="E44" s="278">
        <v>3200</v>
      </c>
      <c r="F44" s="223">
        <v>1600</v>
      </c>
      <c r="G44" s="224"/>
      <c r="H44" s="261">
        <v>1440</v>
      </c>
      <c r="I44" s="51">
        <f t="shared" si="20"/>
        <v>180</v>
      </c>
      <c r="J44" s="52">
        <f t="shared" si="6"/>
        <v>720</v>
      </c>
      <c r="K44" s="226"/>
      <c r="L44" s="226"/>
      <c r="M44" s="226">
        <v>720</v>
      </c>
      <c r="N44" s="226"/>
      <c r="O44" s="226"/>
      <c r="P44" s="226"/>
      <c r="Q44" s="226"/>
      <c r="R44" s="226"/>
      <c r="S44" s="226"/>
      <c r="T44" s="226"/>
      <c r="U44" s="226"/>
      <c r="V44" s="226"/>
      <c r="W44" s="226"/>
      <c r="X44" s="226"/>
      <c r="Y44" s="226"/>
      <c r="Z44" s="226"/>
      <c r="AA44" s="226"/>
      <c r="AB44" s="226"/>
      <c r="AC44" s="226"/>
      <c r="AD44" s="226"/>
      <c r="AE44" s="226"/>
      <c r="AF44" s="226"/>
      <c r="AG44" s="226"/>
      <c r="AH44" s="53">
        <f t="shared" si="9"/>
        <v>720</v>
      </c>
      <c r="AI44" s="39">
        <f t="shared" si="7"/>
        <v>0.5</v>
      </c>
      <c r="AJ44" s="39">
        <f t="shared" si="8"/>
        <v>0.5</v>
      </c>
      <c r="AK44" s="39">
        <f t="shared" si="3"/>
        <v>1</v>
      </c>
      <c r="AL44" s="39">
        <f t="shared" si="4"/>
        <v>0.25</v>
      </c>
      <c r="AM44" s="243"/>
    </row>
    <row r="45" spans="1:39" ht="12.75" customHeight="1" thickBot="1" x14ac:dyDescent="0.25">
      <c r="A45" s="312"/>
      <c r="B45" s="325"/>
      <c r="C45" s="54" t="s">
        <v>23</v>
      </c>
      <c r="D45" s="55" t="s">
        <v>96</v>
      </c>
      <c r="E45" s="293">
        <v>3200</v>
      </c>
      <c r="F45" s="235">
        <v>1600</v>
      </c>
      <c r="G45" s="236"/>
      <c r="H45" s="294">
        <v>1440</v>
      </c>
      <c r="I45" s="279">
        <f t="shared" si="20"/>
        <v>180</v>
      </c>
      <c r="J45" s="56">
        <f t="shared" si="6"/>
        <v>720</v>
      </c>
      <c r="K45" s="238"/>
      <c r="L45" s="238"/>
      <c r="M45" s="238">
        <v>720</v>
      </c>
      <c r="N45" s="238"/>
      <c r="O45" s="238"/>
      <c r="P45" s="238"/>
      <c r="Q45" s="238"/>
      <c r="R45" s="238"/>
      <c r="S45" s="238"/>
      <c r="T45" s="238"/>
      <c r="U45" s="238"/>
      <c r="V45" s="238"/>
      <c r="W45" s="238"/>
      <c r="X45" s="238"/>
      <c r="Y45" s="238"/>
      <c r="Z45" s="238"/>
      <c r="AA45" s="238"/>
      <c r="AB45" s="238"/>
      <c r="AC45" s="238"/>
      <c r="AD45" s="238"/>
      <c r="AE45" s="238"/>
      <c r="AF45" s="238"/>
      <c r="AG45" s="238"/>
      <c r="AH45" s="57">
        <f t="shared" si="9"/>
        <v>720</v>
      </c>
      <c r="AI45" s="41">
        <f t="shared" si="7"/>
        <v>0.5</v>
      </c>
      <c r="AJ45" s="41">
        <f t="shared" si="8"/>
        <v>0.5</v>
      </c>
      <c r="AK45" s="41">
        <f t="shared" si="3"/>
        <v>1</v>
      </c>
      <c r="AL45" s="41">
        <f t="shared" si="4"/>
        <v>0.25</v>
      </c>
      <c r="AM45" s="256"/>
    </row>
    <row r="46" spans="1:39" ht="12.75" customHeight="1" x14ac:dyDescent="0.2">
      <c r="A46" s="310">
        <f t="shared" si="25"/>
        <v>46043</v>
      </c>
      <c r="B46" s="323">
        <f t="shared" ref="B46" si="40">A46</f>
        <v>46043</v>
      </c>
      <c r="C46" s="50" t="s">
        <v>23</v>
      </c>
      <c r="D46" s="37" t="s">
        <v>95</v>
      </c>
      <c r="E46" s="278">
        <v>3200</v>
      </c>
      <c r="F46" s="223">
        <v>1600</v>
      </c>
      <c r="G46" s="224">
        <v>12</v>
      </c>
      <c r="H46" s="261">
        <v>1440</v>
      </c>
      <c r="I46" s="51">
        <f t="shared" si="20"/>
        <v>180</v>
      </c>
      <c r="J46" s="52">
        <f t="shared" si="6"/>
        <v>720</v>
      </c>
      <c r="K46" s="226"/>
      <c r="L46" s="226"/>
      <c r="M46" s="226">
        <v>720</v>
      </c>
      <c r="N46" s="226"/>
      <c r="O46" s="226"/>
      <c r="P46" s="226"/>
      <c r="Q46" s="226"/>
      <c r="R46" s="226"/>
      <c r="S46" s="226"/>
      <c r="T46" s="226"/>
      <c r="U46" s="226"/>
      <c r="V46" s="226"/>
      <c r="W46" s="226"/>
      <c r="X46" s="226"/>
      <c r="Y46" s="226"/>
      <c r="Z46" s="226"/>
      <c r="AA46" s="226"/>
      <c r="AB46" s="226"/>
      <c r="AC46" s="226"/>
      <c r="AD46" s="226"/>
      <c r="AE46" s="226"/>
      <c r="AF46" s="226"/>
      <c r="AG46" s="226"/>
      <c r="AH46" s="53">
        <f t="shared" si="9"/>
        <v>720</v>
      </c>
      <c r="AI46" s="39">
        <f t="shared" si="7"/>
        <v>0.5</v>
      </c>
      <c r="AJ46" s="39">
        <f t="shared" si="8"/>
        <v>0.5</v>
      </c>
      <c r="AK46" s="39">
        <f t="shared" si="3"/>
        <v>0.99255583126550873</v>
      </c>
      <c r="AL46" s="39">
        <f t="shared" si="4"/>
        <v>0.24813895781637718</v>
      </c>
      <c r="AM46" s="243"/>
    </row>
    <row r="47" spans="1:39" ht="12.75" customHeight="1" thickBot="1" x14ac:dyDescent="0.25">
      <c r="A47" s="312"/>
      <c r="B47" s="325"/>
      <c r="C47" s="54" t="s">
        <v>23</v>
      </c>
      <c r="D47" s="55" t="s">
        <v>96</v>
      </c>
      <c r="E47" s="293">
        <v>3200</v>
      </c>
      <c r="F47" s="235">
        <v>1600</v>
      </c>
      <c r="G47" s="236">
        <v>10</v>
      </c>
      <c r="H47" s="294">
        <v>1440</v>
      </c>
      <c r="I47" s="279">
        <f t="shared" si="20"/>
        <v>180</v>
      </c>
      <c r="J47" s="56">
        <f t="shared" si="6"/>
        <v>720</v>
      </c>
      <c r="K47" s="238"/>
      <c r="L47" s="238"/>
      <c r="M47" s="238">
        <v>720</v>
      </c>
      <c r="N47" s="238"/>
      <c r="O47" s="238"/>
      <c r="P47" s="238"/>
      <c r="Q47" s="238"/>
      <c r="R47" s="238"/>
      <c r="S47" s="238"/>
      <c r="T47" s="238"/>
      <c r="U47" s="238"/>
      <c r="V47" s="238"/>
      <c r="W47" s="238"/>
      <c r="X47" s="238"/>
      <c r="Y47" s="238"/>
      <c r="Z47" s="238"/>
      <c r="AA47" s="238"/>
      <c r="AB47" s="238"/>
      <c r="AC47" s="238"/>
      <c r="AD47" s="238"/>
      <c r="AE47" s="238"/>
      <c r="AF47" s="238"/>
      <c r="AG47" s="238"/>
      <c r="AH47" s="57">
        <f t="shared" si="9"/>
        <v>720</v>
      </c>
      <c r="AI47" s="41">
        <f t="shared" si="7"/>
        <v>0.5</v>
      </c>
      <c r="AJ47" s="41">
        <f t="shared" si="8"/>
        <v>0.5</v>
      </c>
      <c r="AK47" s="41">
        <f t="shared" si="3"/>
        <v>0.99378881987577639</v>
      </c>
      <c r="AL47" s="41">
        <f t="shared" si="4"/>
        <v>0.2484472049689441</v>
      </c>
      <c r="AM47" s="256"/>
    </row>
    <row r="48" spans="1:39" ht="12.75" customHeight="1" x14ac:dyDescent="0.2">
      <c r="A48" s="310">
        <f t="shared" ref="A48" si="41">A46+1</f>
        <v>46044</v>
      </c>
      <c r="B48" s="323">
        <f t="shared" ref="B48" si="42">A48</f>
        <v>46044</v>
      </c>
      <c r="C48" s="50" t="s">
        <v>23</v>
      </c>
      <c r="D48" s="37" t="s">
        <v>95</v>
      </c>
      <c r="E48" s="278">
        <v>3200</v>
      </c>
      <c r="F48" s="223">
        <v>1500</v>
      </c>
      <c r="G48" s="224"/>
      <c r="H48" s="261">
        <v>1440</v>
      </c>
      <c r="I48" s="51">
        <f t="shared" si="20"/>
        <v>180</v>
      </c>
      <c r="J48" s="52">
        <f t="shared" si="6"/>
        <v>675</v>
      </c>
      <c r="K48" s="226"/>
      <c r="L48" s="226"/>
      <c r="M48" s="226">
        <v>720</v>
      </c>
      <c r="N48" s="226"/>
      <c r="O48" s="226"/>
      <c r="P48" s="226"/>
      <c r="Q48" s="226"/>
      <c r="R48" s="226"/>
      <c r="S48" s="226"/>
      <c r="T48" s="226"/>
      <c r="U48" s="226"/>
      <c r="V48" s="226"/>
      <c r="W48" s="226"/>
      <c r="X48" s="226"/>
      <c r="Y48" s="226"/>
      <c r="Z48" s="226"/>
      <c r="AA48" s="226"/>
      <c r="AB48" s="226"/>
      <c r="AC48" s="226"/>
      <c r="AD48" s="226"/>
      <c r="AE48" s="226">
        <v>45</v>
      </c>
      <c r="AF48" s="226"/>
      <c r="AG48" s="226"/>
      <c r="AH48" s="53">
        <f t="shared" si="9"/>
        <v>765</v>
      </c>
      <c r="AI48" s="39">
        <f t="shared" si="7"/>
        <v>0.46875</v>
      </c>
      <c r="AJ48" s="39">
        <f t="shared" si="8"/>
        <v>0.46875</v>
      </c>
      <c r="AK48" s="39">
        <f t="shared" si="3"/>
        <v>1</v>
      </c>
      <c r="AL48" s="39">
        <f t="shared" si="4"/>
        <v>0.2197265625</v>
      </c>
      <c r="AM48" s="243"/>
    </row>
    <row r="49" spans="1:39" ht="12.75" customHeight="1" thickBot="1" x14ac:dyDescent="0.25">
      <c r="A49" s="312"/>
      <c r="B49" s="325"/>
      <c r="C49" s="54" t="s">
        <v>23</v>
      </c>
      <c r="D49" s="55" t="s">
        <v>96</v>
      </c>
      <c r="E49" s="293">
        <v>3200</v>
      </c>
      <c r="F49" s="235">
        <v>1500</v>
      </c>
      <c r="G49" s="236"/>
      <c r="H49" s="294">
        <v>1440</v>
      </c>
      <c r="I49" s="279">
        <f t="shared" si="20"/>
        <v>180</v>
      </c>
      <c r="J49" s="56">
        <f t="shared" si="6"/>
        <v>675</v>
      </c>
      <c r="K49" s="238"/>
      <c r="L49" s="238"/>
      <c r="M49" s="238">
        <v>720</v>
      </c>
      <c r="N49" s="238"/>
      <c r="O49" s="238"/>
      <c r="P49" s="238"/>
      <c r="Q49" s="238"/>
      <c r="R49" s="238"/>
      <c r="S49" s="238"/>
      <c r="T49" s="238"/>
      <c r="U49" s="238"/>
      <c r="V49" s="238"/>
      <c r="W49" s="238"/>
      <c r="X49" s="238"/>
      <c r="Y49" s="238"/>
      <c r="Z49" s="238"/>
      <c r="AA49" s="238"/>
      <c r="AB49" s="238"/>
      <c r="AC49" s="238"/>
      <c r="AD49" s="238"/>
      <c r="AE49" s="238">
        <v>45</v>
      </c>
      <c r="AF49" s="238"/>
      <c r="AG49" s="238"/>
      <c r="AH49" s="57">
        <f t="shared" si="9"/>
        <v>765</v>
      </c>
      <c r="AI49" s="41">
        <f t="shared" si="7"/>
        <v>0.46875</v>
      </c>
      <c r="AJ49" s="41">
        <f t="shared" si="8"/>
        <v>0.46875</v>
      </c>
      <c r="AK49" s="41">
        <f t="shared" si="3"/>
        <v>1</v>
      </c>
      <c r="AL49" s="41">
        <f t="shared" si="4"/>
        <v>0.2197265625</v>
      </c>
      <c r="AM49" s="256"/>
    </row>
    <row r="50" spans="1:39" ht="12.75" customHeight="1" x14ac:dyDescent="0.2">
      <c r="A50" s="310">
        <f t="shared" ref="A50" si="43">A48+1</f>
        <v>46045</v>
      </c>
      <c r="B50" s="323">
        <f t="shared" ref="B50" si="44">A50</f>
        <v>46045</v>
      </c>
      <c r="C50" s="50" t="s">
        <v>23</v>
      </c>
      <c r="D50" s="37" t="s">
        <v>95</v>
      </c>
      <c r="E50" s="278"/>
      <c r="F50" s="223"/>
      <c r="G50" s="224"/>
      <c r="H50" s="261"/>
      <c r="I50" s="51">
        <f t="shared" si="20"/>
        <v>0</v>
      </c>
      <c r="J50" s="52">
        <f t="shared" si="6"/>
        <v>0</v>
      </c>
      <c r="K50" s="226"/>
      <c r="L50" s="226"/>
      <c r="M50" s="226"/>
      <c r="N50" s="226"/>
      <c r="O50" s="226"/>
      <c r="P50" s="226"/>
      <c r="Q50" s="226"/>
      <c r="R50" s="226"/>
      <c r="S50" s="226"/>
      <c r="T50" s="226"/>
      <c r="U50" s="226"/>
      <c r="V50" s="226"/>
      <c r="W50" s="226"/>
      <c r="X50" s="226"/>
      <c r="Y50" s="226"/>
      <c r="Z50" s="226"/>
      <c r="AA50" s="226"/>
      <c r="AB50" s="226"/>
      <c r="AC50" s="226"/>
      <c r="AD50" s="226"/>
      <c r="AE50" s="226"/>
      <c r="AF50" s="226"/>
      <c r="AG50" s="226"/>
      <c r="AH50" s="53">
        <f t="shared" si="9"/>
        <v>0</v>
      </c>
      <c r="AI50" s="39" t="str">
        <f t="shared" si="7"/>
        <v>0</v>
      </c>
      <c r="AJ50" s="39" t="str">
        <f t="shared" si="8"/>
        <v>0</v>
      </c>
      <c r="AK50" s="39" t="str">
        <f t="shared" si="3"/>
        <v>0</v>
      </c>
      <c r="AL50" s="39">
        <f t="shared" si="4"/>
        <v>0</v>
      </c>
      <c r="AM50" s="243"/>
    </row>
    <row r="51" spans="1:39" ht="12.75" customHeight="1" thickBot="1" x14ac:dyDescent="0.25">
      <c r="A51" s="312"/>
      <c r="B51" s="325"/>
      <c r="C51" s="54" t="s">
        <v>23</v>
      </c>
      <c r="D51" s="55" t="s">
        <v>96</v>
      </c>
      <c r="E51" s="293"/>
      <c r="F51" s="235"/>
      <c r="G51" s="236"/>
      <c r="H51" s="294"/>
      <c r="I51" s="279">
        <f t="shared" si="20"/>
        <v>0</v>
      </c>
      <c r="J51" s="56">
        <f t="shared" si="6"/>
        <v>0</v>
      </c>
      <c r="K51" s="238"/>
      <c r="L51" s="238"/>
      <c r="M51" s="238"/>
      <c r="N51" s="238"/>
      <c r="O51" s="238"/>
      <c r="P51" s="238"/>
      <c r="Q51" s="238"/>
      <c r="R51" s="238"/>
      <c r="S51" s="238"/>
      <c r="T51" s="238"/>
      <c r="U51" s="238"/>
      <c r="V51" s="238"/>
      <c r="W51" s="238"/>
      <c r="X51" s="238"/>
      <c r="Y51" s="238"/>
      <c r="Z51" s="238"/>
      <c r="AA51" s="238"/>
      <c r="AB51" s="238"/>
      <c r="AC51" s="238"/>
      <c r="AD51" s="238"/>
      <c r="AE51" s="238"/>
      <c r="AF51" s="238"/>
      <c r="AG51" s="238"/>
      <c r="AH51" s="57">
        <f t="shared" si="9"/>
        <v>0</v>
      </c>
      <c r="AI51" s="41" t="str">
        <f t="shared" si="7"/>
        <v>0</v>
      </c>
      <c r="AJ51" s="41" t="str">
        <f t="shared" si="8"/>
        <v>0</v>
      </c>
      <c r="AK51" s="41" t="str">
        <f t="shared" si="3"/>
        <v>0</v>
      </c>
      <c r="AL51" s="41">
        <f t="shared" si="4"/>
        <v>0</v>
      </c>
      <c r="AM51" s="256"/>
    </row>
    <row r="52" spans="1:39" ht="12.75" customHeight="1" x14ac:dyDescent="0.2">
      <c r="A52" s="310">
        <f t="shared" si="21"/>
        <v>46046</v>
      </c>
      <c r="B52" s="323">
        <f t="shared" ref="B52" si="45">A52</f>
        <v>46046</v>
      </c>
      <c r="C52" s="50" t="s">
        <v>23</v>
      </c>
      <c r="D52" s="37" t="s">
        <v>95</v>
      </c>
      <c r="E52" s="278">
        <v>3200</v>
      </c>
      <c r="F52" s="223">
        <v>1000</v>
      </c>
      <c r="G52" s="224">
        <v>30</v>
      </c>
      <c r="H52" s="261">
        <v>1440</v>
      </c>
      <c r="I52" s="51">
        <f t="shared" si="20"/>
        <v>180</v>
      </c>
      <c r="J52" s="52">
        <f t="shared" si="6"/>
        <v>450</v>
      </c>
      <c r="K52" s="226">
        <v>270</v>
      </c>
      <c r="L52" s="226"/>
      <c r="M52" s="226">
        <v>720</v>
      </c>
      <c r="N52" s="226"/>
      <c r="O52" s="226"/>
      <c r="P52" s="226"/>
      <c r="Q52" s="226"/>
      <c r="R52" s="226"/>
      <c r="S52" s="226"/>
      <c r="T52" s="226"/>
      <c r="U52" s="226"/>
      <c r="V52" s="226"/>
      <c r="W52" s="226"/>
      <c r="X52" s="226"/>
      <c r="Y52" s="226"/>
      <c r="Z52" s="226"/>
      <c r="AA52" s="226"/>
      <c r="AB52" s="226"/>
      <c r="AC52" s="226"/>
      <c r="AD52" s="226"/>
      <c r="AE52" s="226"/>
      <c r="AF52" s="226"/>
      <c r="AG52" s="226"/>
      <c r="AH52" s="53">
        <f t="shared" si="9"/>
        <v>990</v>
      </c>
      <c r="AI52" s="39">
        <f t="shared" si="7"/>
        <v>0.3125</v>
      </c>
      <c r="AJ52" s="39">
        <f t="shared" si="8"/>
        <v>0.3125</v>
      </c>
      <c r="AK52" s="39">
        <f t="shared" si="3"/>
        <v>0.970873786407767</v>
      </c>
      <c r="AL52" s="39">
        <f t="shared" si="4"/>
        <v>9.4811893203883488E-2</v>
      </c>
      <c r="AM52" s="243"/>
    </row>
    <row r="53" spans="1:39" ht="12.75" customHeight="1" thickBot="1" x14ac:dyDescent="0.25">
      <c r="A53" s="312"/>
      <c r="B53" s="325"/>
      <c r="C53" s="54" t="s">
        <v>23</v>
      </c>
      <c r="D53" s="55" t="s">
        <v>96</v>
      </c>
      <c r="E53" s="293">
        <v>3200</v>
      </c>
      <c r="F53" s="235">
        <v>1000</v>
      </c>
      <c r="G53" s="236">
        <v>25</v>
      </c>
      <c r="H53" s="294">
        <v>1440</v>
      </c>
      <c r="I53" s="279">
        <f t="shared" si="20"/>
        <v>180</v>
      </c>
      <c r="J53" s="56">
        <f t="shared" si="6"/>
        <v>450</v>
      </c>
      <c r="K53" s="238">
        <v>270</v>
      </c>
      <c r="L53" s="238"/>
      <c r="M53" s="238">
        <v>720</v>
      </c>
      <c r="N53" s="238"/>
      <c r="O53" s="238"/>
      <c r="P53" s="238"/>
      <c r="Q53" s="238"/>
      <c r="R53" s="238"/>
      <c r="S53" s="238"/>
      <c r="T53" s="238"/>
      <c r="U53" s="238"/>
      <c r="V53" s="238"/>
      <c r="W53" s="238"/>
      <c r="X53" s="238"/>
      <c r="Y53" s="238"/>
      <c r="Z53" s="238"/>
      <c r="AA53" s="238"/>
      <c r="AB53" s="238"/>
      <c r="AC53" s="238"/>
      <c r="AD53" s="238"/>
      <c r="AE53" s="238"/>
      <c r="AF53" s="238"/>
      <c r="AG53" s="238"/>
      <c r="AH53" s="57">
        <f t="shared" si="9"/>
        <v>990</v>
      </c>
      <c r="AI53" s="41">
        <f t="shared" si="7"/>
        <v>0.3125</v>
      </c>
      <c r="AJ53" s="41">
        <f t="shared" si="8"/>
        <v>0.3125</v>
      </c>
      <c r="AK53" s="41">
        <f t="shared" si="3"/>
        <v>0.97560975609756095</v>
      </c>
      <c r="AL53" s="41">
        <f t="shared" si="4"/>
        <v>9.527439024390244E-2</v>
      </c>
      <c r="AM53" s="256"/>
    </row>
    <row r="54" spans="1:39" ht="12.75" customHeight="1" x14ac:dyDescent="0.2">
      <c r="A54" s="310">
        <f t="shared" si="23"/>
        <v>46047</v>
      </c>
      <c r="B54" s="323">
        <f t="shared" ref="B54" si="46">A54</f>
        <v>46047</v>
      </c>
      <c r="C54" s="50" t="s">
        <v>23</v>
      </c>
      <c r="D54" s="37" t="s">
        <v>95</v>
      </c>
      <c r="E54" s="278">
        <v>3200</v>
      </c>
      <c r="F54" s="223">
        <v>1450</v>
      </c>
      <c r="G54" s="224">
        <v>18</v>
      </c>
      <c r="H54" s="261">
        <v>1440</v>
      </c>
      <c r="I54" s="51">
        <f t="shared" si="20"/>
        <v>180</v>
      </c>
      <c r="J54" s="52">
        <f t="shared" si="6"/>
        <v>650</v>
      </c>
      <c r="K54" s="226"/>
      <c r="L54" s="226"/>
      <c r="M54" s="226">
        <v>720</v>
      </c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26"/>
      <c r="Z54" s="226"/>
      <c r="AA54" s="226"/>
      <c r="AB54" s="226"/>
      <c r="AC54" s="226"/>
      <c r="AD54" s="226">
        <v>70</v>
      </c>
      <c r="AE54" s="226"/>
      <c r="AF54" s="226"/>
      <c r="AG54" s="226"/>
      <c r="AH54" s="53">
        <f t="shared" si="9"/>
        <v>790</v>
      </c>
      <c r="AI54" s="39">
        <f t="shared" si="7"/>
        <v>0.4513888888888889</v>
      </c>
      <c r="AJ54" s="39">
        <f t="shared" si="8"/>
        <v>0.453125</v>
      </c>
      <c r="AK54" s="39">
        <f t="shared" si="3"/>
        <v>0.9877384196185286</v>
      </c>
      <c r="AL54" s="39">
        <f t="shared" si="4"/>
        <v>0.20202766069671513</v>
      </c>
      <c r="AM54" s="243"/>
    </row>
    <row r="55" spans="1:39" ht="12.75" customHeight="1" thickBot="1" x14ac:dyDescent="0.25">
      <c r="A55" s="312"/>
      <c r="B55" s="325"/>
      <c r="C55" s="54" t="s">
        <v>23</v>
      </c>
      <c r="D55" s="55" t="s">
        <v>96</v>
      </c>
      <c r="E55" s="293">
        <v>3200</v>
      </c>
      <c r="F55" s="235">
        <v>1450</v>
      </c>
      <c r="G55" s="236">
        <v>11</v>
      </c>
      <c r="H55" s="294">
        <v>1440</v>
      </c>
      <c r="I55" s="279">
        <f t="shared" si="20"/>
        <v>180</v>
      </c>
      <c r="J55" s="56">
        <f t="shared" si="6"/>
        <v>650</v>
      </c>
      <c r="K55" s="238"/>
      <c r="L55" s="238"/>
      <c r="M55" s="238">
        <v>720</v>
      </c>
      <c r="N55" s="238"/>
      <c r="O55" s="238"/>
      <c r="P55" s="238"/>
      <c r="Q55" s="238"/>
      <c r="R55" s="238"/>
      <c r="S55" s="238"/>
      <c r="T55" s="238"/>
      <c r="U55" s="238"/>
      <c r="V55" s="238"/>
      <c r="W55" s="238"/>
      <c r="X55" s="238"/>
      <c r="Y55" s="238"/>
      <c r="Z55" s="238"/>
      <c r="AA55" s="238"/>
      <c r="AB55" s="238"/>
      <c r="AC55" s="238"/>
      <c r="AD55" s="238">
        <v>70</v>
      </c>
      <c r="AE55" s="238"/>
      <c r="AF55" s="238"/>
      <c r="AG55" s="238"/>
      <c r="AH55" s="57">
        <f t="shared" si="9"/>
        <v>790</v>
      </c>
      <c r="AI55" s="41">
        <f t="shared" si="7"/>
        <v>0.4513888888888889</v>
      </c>
      <c r="AJ55" s="41">
        <f t="shared" si="8"/>
        <v>0.453125</v>
      </c>
      <c r="AK55" s="41">
        <f t="shared" si="3"/>
        <v>0.9924709103353867</v>
      </c>
      <c r="AL55" s="41">
        <f t="shared" si="4"/>
        <v>0.20299562347897177</v>
      </c>
      <c r="AM55" s="256"/>
    </row>
    <row r="56" spans="1:39" ht="12.75" customHeight="1" x14ac:dyDescent="0.2">
      <c r="A56" s="310">
        <f t="shared" si="25"/>
        <v>46048</v>
      </c>
      <c r="B56" s="323">
        <f t="shared" ref="B56" si="47">A56</f>
        <v>46048</v>
      </c>
      <c r="C56" s="50" t="s">
        <v>23</v>
      </c>
      <c r="D56" s="37" t="s">
        <v>95</v>
      </c>
      <c r="E56" s="278">
        <v>3200</v>
      </c>
      <c r="F56" s="223">
        <v>1430</v>
      </c>
      <c r="G56" s="224">
        <v>23</v>
      </c>
      <c r="H56" s="261">
        <v>1440</v>
      </c>
      <c r="I56" s="51">
        <f t="shared" si="20"/>
        <v>180</v>
      </c>
      <c r="J56" s="52">
        <f t="shared" si="6"/>
        <v>640</v>
      </c>
      <c r="K56" s="226">
        <v>60</v>
      </c>
      <c r="L56" s="226">
        <v>20</v>
      </c>
      <c r="M56" s="226">
        <v>720</v>
      </c>
      <c r="N56" s="226"/>
      <c r="O56" s="226"/>
      <c r="P56" s="226"/>
      <c r="Q56" s="226"/>
      <c r="R56" s="226"/>
      <c r="S56" s="226"/>
      <c r="T56" s="226"/>
      <c r="U56" s="226"/>
      <c r="V56" s="226"/>
      <c r="W56" s="226"/>
      <c r="X56" s="226"/>
      <c r="Y56" s="226"/>
      <c r="Z56" s="226"/>
      <c r="AA56" s="226"/>
      <c r="AB56" s="226"/>
      <c r="AC56" s="226"/>
      <c r="AD56" s="226"/>
      <c r="AE56" s="226"/>
      <c r="AF56" s="226"/>
      <c r="AG56" s="226"/>
      <c r="AH56" s="53">
        <f t="shared" si="9"/>
        <v>800</v>
      </c>
      <c r="AI56" s="39">
        <f t="shared" si="7"/>
        <v>0.44444444444444442</v>
      </c>
      <c r="AJ56" s="39">
        <f t="shared" si="8"/>
        <v>0.44687500000000002</v>
      </c>
      <c r="AK56" s="39">
        <f t="shared" si="3"/>
        <v>0.98417068134893326</v>
      </c>
      <c r="AL56" s="39">
        <f t="shared" si="4"/>
        <v>0.19546723254569093</v>
      </c>
      <c r="AM56" s="243"/>
    </row>
    <row r="57" spans="1:39" ht="12.75" customHeight="1" thickBot="1" x14ac:dyDescent="0.25">
      <c r="A57" s="312"/>
      <c r="B57" s="325"/>
      <c r="C57" s="54" t="s">
        <v>23</v>
      </c>
      <c r="D57" s="55" t="s">
        <v>96</v>
      </c>
      <c r="E57" s="293">
        <v>3200</v>
      </c>
      <c r="F57" s="235">
        <v>1430</v>
      </c>
      <c r="G57" s="236">
        <v>17</v>
      </c>
      <c r="H57" s="294">
        <v>1440</v>
      </c>
      <c r="I57" s="279">
        <f t="shared" si="20"/>
        <v>180</v>
      </c>
      <c r="J57" s="56">
        <f t="shared" si="6"/>
        <v>640</v>
      </c>
      <c r="K57" s="238">
        <v>60</v>
      </c>
      <c r="L57" s="238">
        <v>20</v>
      </c>
      <c r="M57" s="238">
        <v>720</v>
      </c>
      <c r="N57" s="238"/>
      <c r="O57" s="238"/>
      <c r="P57" s="238"/>
      <c r="Q57" s="238"/>
      <c r="R57" s="238"/>
      <c r="S57" s="238"/>
      <c r="T57" s="238"/>
      <c r="U57" s="238"/>
      <c r="V57" s="238"/>
      <c r="W57" s="238"/>
      <c r="X57" s="238"/>
      <c r="Y57" s="238"/>
      <c r="Z57" s="238"/>
      <c r="AA57" s="238"/>
      <c r="AB57" s="238"/>
      <c r="AC57" s="238"/>
      <c r="AD57" s="238"/>
      <c r="AE57" s="238"/>
      <c r="AF57" s="238"/>
      <c r="AG57" s="238"/>
      <c r="AH57" s="57">
        <f t="shared" si="9"/>
        <v>800</v>
      </c>
      <c r="AI57" s="41">
        <f t="shared" si="7"/>
        <v>0.44444444444444442</v>
      </c>
      <c r="AJ57" s="41">
        <f t="shared" si="8"/>
        <v>0.44687500000000002</v>
      </c>
      <c r="AK57" s="41">
        <f t="shared" si="3"/>
        <v>0.98825155494125783</v>
      </c>
      <c r="AL57" s="41">
        <f t="shared" si="4"/>
        <v>0.19627773938416648</v>
      </c>
      <c r="AM57" s="256"/>
    </row>
    <row r="58" spans="1:39" ht="12.75" customHeight="1" x14ac:dyDescent="0.2">
      <c r="A58" s="310">
        <f t="shared" ref="A58" si="48">A56+1</f>
        <v>46049</v>
      </c>
      <c r="B58" s="323">
        <f t="shared" ref="B58" si="49">A58</f>
        <v>46049</v>
      </c>
      <c r="C58" s="50" t="s">
        <v>23</v>
      </c>
      <c r="D58" s="37" t="s">
        <v>95</v>
      </c>
      <c r="E58" s="278">
        <v>3200</v>
      </c>
      <c r="F58" s="223">
        <v>1500</v>
      </c>
      <c r="G58" s="224">
        <v>22</v>
      </c>
      <c r="H58" s="261">
        <v>1440</v>
      </c>
      <c r="I58" s="51">
        <f t="shared" si="20"/>
        <v>180</v>
      </c>
      <c r="J58" s="52">
        <f t="shared" si="6"/>
        <v>675</v>
      </c>
      <c r="K58" s="226"/>
      <c r="L58" s="226"/>
      <c r="M58" s="226">
        <v>720</v>
      </c>
      <c r="N58" s="226"/>
      <c r="O58" s="226"/>
      <c r="P58" s="226"/>
      <c r="Q58" s="226"/>
      <c r="R58" s="226"/>
      <c r="S58" s="226"/>
      <c r="T58" s="226"/>
      <c r="U58" s="226"/>
      <c r="V58" s="226"/>
      <c r="W58" s="226"/>
      <c r="X58" s="226"/>
      <c r="Y58" s="226"/>
      <c r="Z58" s="226"/>
      <c r="AA58" s="226"/>
      <c r="AB58" s="226"/>
      <c r="AC58" s="226"/>
      <c r="AD58" s="226">
        <v>45</v>
      </c>
      <c r="AE58" s="226"/>
      <c r="AF58" s="226"/>
      <c r="AG58" s="226"/>
      <c r="AH58" s="53">
        <f t="shared" si="9"/>
        <v>765</v>
      </c>
      <c r="AI58" s="39">
        <f t="shared" si="7"/>
        <v>0.46875</v>
      </c>
      <c r="AJ58" s="39" t="str">
        <f>IFERROR(#REF!/E58,"0")</f>
        <v>0</v>
      </c>
      <c r="AK58" s="39" t="str">
        <f>IFERROR(#REF!/(#REF!+G58),"0")</f>
        <v>0</v>
      </c>
      <c r="AL58" s="39">
        <f t="shared" si="4"/>
        <v>0</v>
      </c>
      <c r="AM58" s="243"/>
    </row>
    <row r="59" spans="1:39" ht="12.75" customHeight="1" thickBot="1" x14ac:dyDescent="0.25">
      <c r="A59" s="312"/>
      <c r="B59" s="325"/>
      <c r="C59" s="54" t="s">
        <v>23</v>
      </c>
      <c r="D59" s="55" t="s">
        <v>96</v>
      </c>
      <c r="E59" s="293">
        <v>3200</v>
      </c>
      <c r="F59" s="235">
        <v>1500</v>
      </c>
      <c r="G59" s="236">
        <v>10</v>
      </c>
      <c r="H59" s="294">
        <v>1440</v>
      </c>
      <c r="I59" s="279">
        <f t="shared" si="20"/>
        <v>180</v>
      </c>
      <c r="J59" s="56">
        <f t="shared" si="6"/>
        <v>675</v>
      </c>
      <c r="K59" s="238"/>
      <c r="L59" s="238"/>
      <c r="M59" s="238">
        <v>720</v>
      </c>
      <c r="N59" s="238"/>
      <c r="O59" s="238"/>
      <c r="P59" s="238"/>
      <c r="Q59" s="238"/>
      <c r="R59" s="238"/>
      <c r="S59" s="238"/>
      <c r="T59" s="238"/>
      <c r="U59" s="238"/>
      <c r="V59" s="238"/>
      <c r="W59" s="238"/>
      <c r="X59" s="238"/>
      <c r="Y59" s="238"/>
      <c r="Z59" s="238"/>
      <c r="AA59" s="238"/>
      <c r="AB59" s="238"/>
      <c r="AC59" s="238"/>
      <c r="AD59" s="238">
        <v>45</v>
      </c>
      <c r="AE59" s="238"/>
      <c r="AF59" s="238"/>
      <c r="AG59" s="238"/>
      <c r="AH59" s="57">
        <f t="shared" si="9"/>
        <v>765</v>
      </c>
      <c r="AI59" s="41">
        <f t="shared" si="7"/>
        <v>0.46875</v>
      </c>
      <c r="AJ59" s="41" t="str">
        <f>IFERROR(#REF!/E59,"0")</f>
        <v>0</v>
      </c>
      <c r="AK59" s="41" t="str">
        <f>IFERROR(#REF!/(#REF!+G59),"0")</f>
        <v>0</v>
      </c>
      <c r="AL59" s="41">
        <f t="shared" si="4"/>
        <v>0</v>
      </c>
      <c r="AM59" s="256"/>
    </row>
    <row r="60" spans="1:39" ht="12.75" customHeight="1" x14ac:dyDescent="0.2">
      <c r="A60" s="310">
        <f t="shared" ref="A60" si="50">A58+1</f>
        <v>46050</v>
      </c>
      <c r="B60" s="323">
        <f t="shared" ref="B60" si="51">A60</f>
        <v>46050</v>
      </c>
      <c r="C60" s="50" t="s">
        <v>23</v>
      </c>
      <c r="D60" s="37" t="s">
        <v>95</v>
      </c>
      <c r="E60" s="278">
        <v>3200</v>
      </c>
      <c r="F60" s="223">
        <v>1500</v>
      </c>
      <c r="G60" s="224">
        <v>26</v>
      </c>
      <c r="H60" s="261">
        <v>1440</v>
      </c>
      <c r="I60" s="51">
        <f t="shared" si="20"/>
        <v>180</v>
      </c>
      <c r="J60" s="52">
        <f t="shared" si="6"/>
        <v>675</v>
      </c>
      <c r="K60" s="226">
        <v>5</v>
      </c>
      <c r="L60" s="226"/>
      <c r="M60" s="226">
        <v>720</v>
      </c>
      <c r="N60" s="226"/>
      <c r="O60" s="226"/>
      <c r="P60" s="226"/>
      <c r="Q60" s="226">
        <v>10</v>
      </c>
      <c r="R60" s="226"/>
      <c r="S60" s="226"/>
      <c r="T60" s="226"/>
      <c r="U60" s="226"/>
      <c r="V60" s="226"/>
      <c r="W60" s="226"/>
      <c r="X60" s="226"/>
      <c r="Y60" s="226"/>
      <c r="Z60" s="226"/>
      <c r="AA60" s="226"/>
      <c r="AB60" s="226"/>
      <c r="AC60" s="226"/>
      <c r="AD60" s="226">
        <v>30</v>
      </c>
      <c r="AE60" s="226"/>
      <c r="AF60" s="226"/>
      <c r="AG60" s="226"/>
      <c r="AH60" s="53">
        <f t="shared" si="9"/>
        <v>765</v>
      </c>
      <c r="AI60" s="39">
        <f t="shared" si="7"/>
        <v>0.46875</v>
      </c>
      <c r="AJ60" s="39">
        <f>IFERROR(F58/E60,"0")</f>
        <v>0.46875</v>
      </c>
      <c r="AK60" s="39">
        <f>IFERROR(F58/(F58+G60),"0")</f>
        <v>0.98296199213630409</v>
      </c>
      <c r="AL60" s="39">
        <f t="shared" si="4"/>
        <v>0.21598285960026214</v>
      </c>
      <c r="AM60" s="243"/>
    </row>
    <row r="61" spans="1:39" ht="12.75" customHeight="1" thickBot="1" x14ac:dyDescent="0.25">
      <c r="A61" s="312"/>
      <c r="B61" s="325"/>
      <c r="C61" s="54" t="s">
        <v>23</v>
      </c>
      <c r="D61" s="55" t="s">
        <v>96</v>
      </c>
      <c r="E61" s="293">
        <v>3200</v>
      </c>
      <c r="F61" s="235">
        <v>1500</v>
      </c>
      <c r="G61" s="236">
        <v>18</v>
      </c>
      <c r="H61" s="294">
        <v>1440</v>
      </c>
      <c r="I61" s="279">
        <f t="shared" si="20"/>
        <v>180</v>
      </c>
      <c r="J61" s="56">
        <f t="shared" si="6"/>
        <v>675</v>
      </c>
      <c r="K61" s="238">
        <v>5</v>
      </c>
      <c r="L61" s="238"/>
      <c r="M61" s="238">
        <v>720</v>
      </c>
      <c r="N61" s="238"/>
      <c r="O61" s="238"/>
      <c r="P61" s="238"/>
      <c r="Q61" s="238">
        <v>10</v>
      </c>
      <c r="R61" s="238"/>
      <c r="S61" s="238"/>
      <c r="T61" s="238"/>
      <c r="U61" s="238"/>
      <c r="V61" s="238"/>
      <c r="W61" s="238"/>
      <c r="X61" s="238"/>
      <c r="Y61" s="238"/>
      <c r="Z61" s="238"/>
      <c r="AA61" s="238"/>
      <c r="AB61" s="238"/>
      <c r="AC61" s="238"/>
      <c r="AD61" s="238">
        <v>30</v>
      </c>
      <c r="AE61" s="238"/>
      <c r="AF61" s="238"/>
      <c r="AG61" s="238"/>
      <c r="AH61" s="57">
        <f t="shared" si="9"/>
        <v>765</v>
      </c>
      <c r="AI61" s="41">
        <f t="shared" si="7"/>
        <v>0.46875</v>
      </c>
      <c r="AJ61" s="41">
        <f>IFERROR(F59/E61,"0")</f>
        <v>0.46875</v>
      </c>
      <c r="AK61" s="41">
        <f>IFERROR(F59/(F59+G61),"0")</f>
        <v>0.98814229249011853</v>
      </c>
      <c r="AL61" s="41">
        <f t="shared" si="4"/>
        <v>0.2171211091897233</v>
      </c>
      <c r="AM61" s="256"/>
    </row>
    <row r="62" spans="1:39" ht="12.75" customHeight="1" x14ac:dyDescent="0.2">
      <c r="A62" s="310">
        <f t="shared" si="21"/>
        <v>46051</v>
      </c>
      <c r="B62" s="323">
        <f t="shared" ref="B62" si="52">A62</f>
        <v>46051</v>
      </c>
      <c r="C62" s="50" t="s">
        <v>23</v>
      </c>
      <c r="D62" s="37" t="s">
        <v>95</v>
      </c>
      <c r="E62" s="278">
        <v>3200</v>
      </c>
      <c r="F62" s="223">
        <v>1500</v>
      </c>
      <c r="G62" s="224">
        <v>14</v>
      </c>
      <c r="H62" s="261">
        <v>1440</v>
      </c>
      <c r="I62" s="51">
        <f t="shared" si="20"/>
        <v>180</v>
      </c>
      <c r="J62" s="52">
        <f t="shared" si="6"/>
        <v>675</v>
      </c>
      <c r="K62" s="226"/>
      <c r="L62" s="226"/>
      <c r="M62" s="226">
        <v>720</v>
      </c>
      <c r="N62" s="226"/>
      <c r="O62" s="226"/>
      <c r="P62" s="226"/>
      <c r="Q62" s="226"/>
      <c r="R62" s="226"/>
      <c r="S62" s="226"/>
      <c r="T62" s="226"/>
      <c r="U62" s="226"/>
      <c r="V62" s="226"/>
      <c r="W62" s="226"/>
      <c r="X62" s="226"/>
      <c r="Y62" s="226"/>
      <c r="Z62" s="226"/>
      <c r="AA62" s="226"/>
      <c r="AB62" s="226"/>
      <c r="AC62" s="226"/>
      <c r="AD62" s="226">
        <v>45</v>
      </c>
      <c r="AE62" s="226"/>
      <c r="AF62" s="226"/>
      <c r="AG62" s="226"/>
      <c r="AH62" s="53">
        <f t="shared" si="9"/>
        <v>765</v>
      </c>
      <c r="AI62" s="39">
        <f t="shared" si="7"/>
        <v>0.46875</v>
      </c>
      <c r="AJ62" s="39">
        <f>IFERROR(F60/E62,"0")</f>
        <v>0.46875</v>
      </c>
      <c r="AK62" s="39">
        <f>IFERROR(F60/(F60+G62),"0")</f>
        <v>0.99075297225891679</v>
      </c>
      <c r="AL62" s="39">
        <f t="shared" si="4"/>
        <v>0.21769474488110963</v>
      </c>
      <c r="AM62" s="243"/>
    </row>
    <row r="63" spans="1:39" ht="12.75" customHeight="1" thickBot="1" x14ac:dyDescent="0.25">
      <c r="A63" s="312"/>
      <c r="B63" s="325"/>
      <c r="C63" s="54" t="s">
        <v>23</v>
      </c>
      <c r="D63" s="55" t="s">
        <v>96</v>
      </c>
      <c r="E63" s="293">
        <v>3200</v>
      </c>
      <c r="F63" s="235">
        <v>1500</v>
      </c>
      <c r="G63" s="236">
        <v>12</v>
      </c>
      <c r="H63" s="294">
        <v>1440</v>
      </c>
      <c r="I63" s="279">
        <f t="shared" si="20"/>
        <v>180</v>
      </c>
      <c r="J63" s="56">
        <f t="shared" si="6"/>
        <v>675</v>
      </c>
      <c r="K63" s="238"/>
      <c r="L63" s="238"/>
      <c r="M63" s="238">
        <v>720</v>
      </c>
      <c r="N63" s="238"/>
      <c r="O63" s="238"/>
      <c r="P63" s="238"/>
      <c r="Q63" s="238"/>
      <c r="R63" s="238"/>
      <c r="S63" s="238"/>
      <c r="T63" s="238"/>
      <c r="U63" s="238"/>
      <c r="V63" s="238"/>
      <c r="W63" s="238"/>
      <c r="X63" s="238"/>
      <c r="Y63" s="238"/>
      <c r="Z63" s="238"/>
      <c r="AA63" s="238"/>
      <c r="AB63" s="238"/>
      <c r="AC63" s="238"/>
      <c r="AD63" s="238">
        <v>45</v>
      </c>
      <c r="AE63" s="238"/>
      <c r="AF63" s="238"/>
      <c r="AG63" s="238"/>
      <c r="AH63" s="57">
        <f t="shared" si="9"/>
        <v>765</v>
      </c>
      <c r="AI63" s="41">
        <f t="shared" si="7"/>
        <v>0.46875</v>
      </c>
      <c r="AJ63" s="41">
        <f>IFERROR(F61/E63,"0")</f>
        <v>0.46875</v>
      </c>
      <c r="AK63" s="41">
        <f>IFERROR(F61/(F61+G63),"0")</f>
        <v>0.99206349206349209</v>
      </c>
      <c r="AL63" s="41">
        <f t="shared" si="4"/>
        <v>0.21798270089285715</v>
      </c>
      <c r="AM63" s="256"/>
    </row>
    <row r="64" spans="1:39" ht="12.75" customHeight="1" x14ac:dyDescent="0.2">
      <c r="A64" s="310">
        <f t="shared" si="23"/>
        <v>46052</v>
      </c>
      <c r="B64" s="323">
        <f t="shared" ref="B64" si="53">A64</f>
        <v>46052</v>
      </c>
      <c r="C64" s="50" t="s">
        <v>23</v>
      </c>
      <c r="D64" s="37" t="s">
        <v>95</v>
      </c>
      <c r="E64" s="278">
        <v>3200</v>
      </c>
      <c r="F64" s="223">
        <v>1100</v>
      </c>
      <c r="G64" s="224">
        <v>22</v>
      </c>
      <c r="H64" s="261">
        <v>1440</v>
      </c>
      <c r="I64" s="51">
        <f t="shared" si="20"/>
        <v>180</v>
      </c>
      <c r="J64" s="52">
        <f t="shared" si="6"/>
        <v>495</v>
      </c>
      <c r="K64" s="226"/>
      <c r="L64" s="226"/>
      <c r="M64" s="226">
        <v>780</v>
      </c>
      <c r="N64" s="226">
        <v>105</v>
      </c>
      <c r="O64" s="226"/>
      <c r="P64" s="226"/>
      <c r="Q64" s="226"/>
      <c r="R64" s="226"/>
      <c r="S64" s="226"/>
      <c r="T64" s="226"/>
      <c r="U64" s="226"/>
      <c r="V64" s="226"/>
      <c r="W64" s="226"/>
      <c r="X64" s="226"/>
      <c r="Y64" s="226"/>
      <c r="Z64" s="226"/>
      <c r="AA64" s="226"/>
      <c r="AB64" s="226"/>
      <c r="AC64" s="226"/>
      <c r="AD64" s="226">
        <v>60</v>
      </c>
      <c r="AE64" s="226"/>
      <c r="AF64" s="226"/>
      <c r="AG64" s="226"/>
      <c r="AH64" s="53">
        <f t="shared" si="9"/>
        <v>945</v>
      </c>
      <c r="AI64" s="39">
        <f t="shared" si="7"/>
        <v>0.34375</v>
      </c>
      <c r="AJ64" s="39">
        <f t="shared" si="8"/>
        <v>0.34375</v>
      </c>
      <c r="AK64" s="39">
        <f t="shared" si="3"/>
        <v>0.98039215686274506</v>
      </c>
      <c r="AL64" s="39">
        <f t="shared" si="4"/>
        <v>0.1158471200980392</v>
      </c>
      <c r="AM64" s="243"/>
    </row>
    <row r="65" spans="1:39" ht="12.75" customHeight="1" thickBot="1" x14ac:dyDescent="0.25">
      <c r="A65" s="312"/>
      <c r="B65" s="325"/>
      <c r="C65" s="54" t="s">
        <v>23</v>
      </c>
      <c r="D65" s="55" t="s">
        <v>96</v>
      </c>
      <c r="E65" s="293">
        <v>3200</v>
      </c>
      <c r="F65" s="235">
        <v>1100</v>
      </c>
      <c r="G65" s="236">
        <v>19</v>
      </c>
      <c r="H65" s="294">
        <v>1440</v>
      </c>
      <c r="I65" s="279">
        <f t="shared" si="20"/>
        <v>180</v>
      </c>
      <c r="J65" s="56">
        <f t="shared" si="6"/>
        <v>495</v>
      </c>
      <c r="K65" s="238"/>
      <c r="L65" s="238"/>
      <c r="M65" s="238">
        <v>780</v>
      </c>
      <c r="N65" s="238">
        <v>105</v>
      </c>
      <c r="O65" s="238"/>
      <c r="P65" s="238"/>
      <c r="Q65" s="238"/>
      <c r="R65" s="238"/>
      <c r="S65" s="238"/>
      <c r="T65" s="238"/>
      <c r="U65" s="238"/>
      <c r="V65" s="238"/>
      <c r="W65" s="238"/>
      <c r="X65" s="238"/>
      <c r="Y65" s="238"/>
      <c r="Z65" s="238"/>
      <c r="AA65" s="238"/>
      <c r="AB65" s="238"/>
      <c r="AC65" s="238"/>
      <c r="AD65" s="238">
        <v>60</v>
      </c>
      <c r="AE65" s="238"/>
      <c r="AF65" s="238"/>
      <c r="AG65" s="238"/>
      <c r="AH65" s="57">
        <f t="shared" si="9"/>
        <v>945</v>
      </c>
      <c r="AI65" s="41">
        <f t="shared" si="7"/>
        <v>0.34375</v>
      </c>
      <c r="AJ65" s="41">
        <f t="shared" si="8"/>
        <v>0.34375</v>
      </c>
      <c r="AK65" s="41">
        <f t="shared" si="3"/>
        <v>0.98302055406613043</v>
      </c>
      <c r="AL65" s="41">
        <f t="shared" si="4"/>
        <v>0.11615770218945487</v>
      </c>
      <c r="AM65" s="256"/>
    </row>
    <row r="66" spans="1:39" ht="12.75" customHeight="1" x14ac:dyDescent="0.2">
      <c r="A66" s="310">
        <f t="shared" si="25"/>
        <v>46053</v>
      </c>
      <c r="B66" s="323">
        <f t="shared" ref="B66" si="54">A66</f>
        <v>46053</v>
      </c>
      <c r="C66" s="50" t="s">
        <v>23</v>
      </c>
      <c r="D66" s="37" t="s">
        <v>95</v>
      </c>
      <c r="E66" s="278">
        <v>3200</v>
      </c>
      <c r="F66" s="223">
        <v>1000</v>
      </c>
      <c r="G66" s="224">
        <v>10</v>
      </c>
      <c r="H66" s="261">
        <v>1440</v>
      </c>
      <c r="I66" s="51">
        <f t="shared" si="20"/>
        <v>180</v>
      </c>
      <c r="J66" s="52">
        <f t="shared" si="6"/>
        <v>450</v>
      </c>
      <c r="K66" s="226"/>
      <c r="L66" s="226"/>
      <c r="M66" s="226">
        <v>990</v>
      </c>
      <c r="N66" s="226"/>
      <c r="O66" s="226"/>
      <c r="P66" s="226"/>
      <c r="Q66" s="226"/>
      <c r="R66" s="226"/>
      <c r="S66" s="226"/>
      <c r="T66" s="226"/>
      <c r="U66" s="226"/>
      <c r="V66" s="226"/>
      <c r="W66" s="226"/>
      <c r="X66" s="226"/>
      <c r="Y66" s="226"/>
      <c r="Z66" s="226"/>
      <c r="AA66" s="226"/>
      <c r="AB66" s="226"/>
      <c r="AC66" s="226"/>
      <c r="AD66" s="226"/>
      <c r="AE66" s="226"/>
      <c r="AF66" s="226"/>
      <c r="AG66" s="226"/>
      <c r="AH66" s="53">
        <f t="shared" si="9"/>
        <v>990</v>
      </c>
      <c r="AI66" s="39">
        <f t="shared" si="7"/>
        <v>0.3125</v>
      </c>
      <c r="AJ66" s="39">
        <f t="shared" si="8"/>
        <v>0.3125</v>
      </c>
      <c r="AK66" s="39">
        <f t="shared" si="3"/>
        <v>0.99009900990099009</v>
      </c>
      <c r="AL66" s="39">
        <f t="shared" si="4"/>
        <v>9.6689356435643567E-2</v>
      </c>
      <c r="AM66" s="243"/>
    </row>
    <row r="67" spans="1:39" ht="12.75" customHeight="1" thickBot="1" x14ac:dyDescent="0.25">
      <c r="A67" s="312"/>
      <c r="B67" s="325"/>
      <c r="C67" s="54" t="s">
        <v>23</v>
      </c>
      <c r="D67" s="55" t="s">
        <v>96</v>
      </c>
      <c r="E67" s="293">
        <v>3200</v>
      </c>
      <c r="F67" s="235">
        <v>1000</v>
      </c>
      <c r="G67" s="236">
        <v>8</v>
      </c>
      <c r="H67" s="294">
        <v>1440</v>
      </c>
      <c r="I67" s="279">
        <f t="shared" si="20"/>
        <v>180</v>
      </c>
      <c r="J67" s="56">
        <f t="shared" si="6"/>
        <v>450</v>
      </c>
      <c r="K67" s="238"/>
      <c r="L67" s="238"/>
      <c r="M67" s="238">
        <v>990</v>
      </c>
      <c r="N67" s="238"/>
      <c r="O67" s="238"/>
      <c r="P67" s="238"/>
      <c r="Q67" s="238"/>
      <c r="R67" s="238"/>
      <c r="S67" s="238"/>
      <c r="T67" s="238"/>
      <c r="U67" s="238"/>
      <c r="V67" s="238"/>
      <c r="W67" s="238"/>
      <c r="X67" s="238"/>
      <c r="Y67" s="238"/>
      <c r="Z67" s="238"/>
      <c r="AA67" s="238"/>
      <c r="AB67" s="238"/>
      <c r="AC67" s="238"/>
      <c r="AD67" s="238"/>
      <c r="AE67" s="238"/>
      <c r="AF67" s="238"/>
      <c r="AG67" s="238"/>
      <c r="AH67" s="57">
        <f t="shared" si="9"/>
        <v>990</v>
      </c>
      <c r="AI67" s="41">
        <f t="shared" si="7"/>
        <v>0.3125</v>
      </c>
      <c r="AJ67" s="41">
        <f t="shared" si="8"/>
        <v>0.3125</v>
      </c>
      <c r="AK67" s="41">
        <f t="shared" si="3"/>
        <v>0.99206349206349209</v>
      </c>
      <c r="AL67" s="41">
        <f t="shared" si="4"/>
        <v>9.6881200396825407E-2</v>
      </c>
      <c r="AM67" s="256"/>
    </row>
    <row r="68" spans="1:39" s="12" customFormat="1" ht="14.25" x14ac:dyDescent="0.25">
      <c r="A68" s="313" t="s">
        <v>34</v>
      </c>
      <c r="B68" s="314"/>
      <c r="C68" s="314"/>
      <c r="D68" s="315"/>
      <c r="E68" s="23">
        <f>SUM(E6:E67)</f>
        <v>185600</v>
      </c>
      <c r="F68" s="23">
        <f>SUM(F6:F67)</f>
        <v>85590</v>
      </c>
      <c r="G68" s="23">
        <f>SUM(G6:G67)</f>
        <v>700</v>
      </c>
      <c r="H68" s="23">
        <f>SUM(H6:H67)</f>
        <v>83520</v>
      </c>
      <c r="I68" s="23">
        <f>SUM(I43:I67)</f>
        <v>4140</v>
      </c>
      <c r="J68" s="280">
        <f t="shared" ref="J68:AH68" si="55">SUM(J6:J67)</f>
        <v>38450</v>
      </c>
      <c r="K68" s="281">
        <f t="shared" si="55"/>
        <v>810</v>
      </c>
      <c r="L68" s="281">
        <f t="shared" si="55"/>
        <v>70</v>
      </c>
      <c r="M68" s="281">
        <f t="shared" si="55"/>
        <v>42420</v>
      </c>
      <c r="N68" s="281">
        <f t="shared" si="55"/>
        <v>370</v>
      </c>
      <c r="O68" s="281">
        <f t="shared" si="55"/>
        <v>0</v>
      </c>
      <c r="P68" s="281">
        <f t="shared" si="55"/>
        <v>60</v>
      </c>
      <c r="Q68" s="281">
        <f t="shared" si="55"/>
        <v>280</v>
      </c>
      <c r="R68" s="281">
        <f t="shared" si="55"/>
        <v>0</v>
      </c>
      <c r="S68" s="281">
        <f t="shared" si="55"/>
        <v>0</v>
      </c>
      <c r="T68" s="281">
        <f t="shared" si="55"/>
        <v>0</v>
      </c>
      <c r="U68" s="281">
        <f t="shared" si="55"/>
        <v>0</v>
      </c>
      <c r="V68" s="281">
        <f t="shared" si="55"/>
        <v>0</v>
      </c>
      <c r="W68" s="281">
        <f t="shared" si="55"/>
        <v>0</v>
      </c>
      <c r="X68" s="281">
        <f t="shared" si="55"/>
        <v>0</v>
      </c>
      <c r="Y68" s="281">
        <f t="shared" si="55"/>
        <v>0</v>
      </c>
      <c r="Z68" s="281">
        <f t="shared" si="55"/>
        <v>90</v>
      </c>
      <c r="AA68" s="281">
        <f t="shared" si="55"/>
        <v>0</v>
      </c>
      <c r="AB68" s="281">
        <f t="shared" si="55"/>
        <v>0</v>
      </c>
      <c r="AC68" s="281">
        <f t="shared" si="55"/>
        <v>0</v>
      </c>
      <c r="AD68" s="281">
        <f t="shared" si="55"/>
        <v>640</v>
      </c>
      <c r="AE68" s="281">
        <f t="shared" si="55"/>
        <v>90</v>
      </c>
      <c r="AF68" s="281">
        <f t="shared" si="55"/>
        <v>0</v>
      </c>
      <c r="AG68" s="281">
        <f t="shared" si="55"/>
        <v>240</v>
      </c>
      <c r="AH68" s="282">
        <f t="shared" si="55"/>
        <v>45070</v>
      </c>
      <c r="AI68" s="24">
        <f>IFERROR(J68/H68,0)</f>
        <v>0.46036877394636017</v>
      </c>
      <c r="AJ68" s="24">
        <f>IFERROR(F68/E68,0)</f>
        <v>0.4611530172413793</v>
      </c>
      <c r="AK68" s="24">
        <f>IFERROR(F68/(F68+G68),0)</f>
        <v>0.99188782014138366</v>
      </c>
      <c r="AL68" s="24">
        <f>IFERROR(AK68*AJ68*AI68,0)</f>
        <v>0.2105782297215161</v>
      </c>
      <c r="AM68" s="27"/>
    </row>
    <row r="72" spans="1:39" x14ac:dyDescent="0.25">
      <c r="AI72" s="15"/>
      <c r="AJ72" s="15"/>
      <c r="AK72" s="15"/>
    </row>
  </sheetData>
  <mergeCells count="65">
    <mergeCell ref="A68:D68"/>
    <mergeCell ref="A66:A67"/>
    <mergeCell ref="B66:B67"/>
    <mergeCell ref="A60:A61"/>
    <mergeCell ref="B60:B61"/>
    <mergeCell ref="A62:A63"/>
    <mergeCell ref="B62:B63"/>
    <mergeCell ref="A64:A65"/>
    <mergeCell ref="B64:B65"/>
    <mergeCell ref="A54:A55"/>
    <mergeCell ref="B54:B55"/>
    <mergeCell ref="A56:A57"/>
    <mergeCell ref="B56:B57"/>
    <mergeCell ref="A58:A59"/>
    <mergeCell ref="B58:B59"/>
    <mergeCell ref="A48:A49"/>
    <mergeCell ref="B48:B49"/>
    <mergeCell ref="A50:A51"/>
    <mergeCell ref="B50:B51"/>
    <mergeCell ref="A52:A53"/>
    <mergeCell ref="B52:B53"/>
    <mergeCell ref="A46:A47"/>
    <mergeCell ref="B46:B47"/>
    <mergeCell ref="A36:A37"/>
    <mergeCell ref="B36:B37"/>
    <mergeCell ref="A38:A39"/>
    <mergeCell ref="B38:B39"/>
    <mergeCell ref="A40:A41"/>
    <mergeCell ref="B40:B41"/>
    <mergeCell ref="A42:A43"/>
    <mergeCell ref="B42:B43"/>
    <mergeCell ref="A44:A45"/>
    <mergeCell ref="A28:A29"/>
    <mergeCell ref="B28:B29"/>
    <mergeCell ref="A30:A31"/>
    <mergeCell ref="B30:B31"/>
    <mergeCell ref="B44:B45"/>
    <mergeCell ref="A22:A23"/>
    <mergeCell ref="B22:B23"/>
    <mergeCell ref="A24:A25"/>
    <mergeCell ref="B24:B25"/>
    <mergeCell ref="A26:A27"/>
    <mergeCell ref="B26:B27"/>
    <mergeCell ref="A16:A17"/>
    <mergeCell ref="B16:B17"/>
    <mergeCell ref="A18:A19"/>
    <mergeCell ref="B18:B19"/>
    <mergeCell ref="A20:A21"/>
    <mergeCell ref="B20:B21"/>
    <mergeCell ref="A1:AM1"/>
    <mergeCell ref="A2:AM2"/>
    <mergeCell ref="A32:A33"/>
    <mergeCell ref="B32:B33"/>
    <mergeCell ref="A34:A35"/>
    <mergeCell ref="B34:B35"/>
    <mergeCell ref="A6:A7"/>
    <mergeCell ref="B6:B7"/>
    <mergeCell ref="A8:A9"/>
    <mergeCell ref="B8:B9"/>
    <mergeCell ref="A10:A11"/>
    <mergeCell ref="B10:B11"/>
    <mergeCell ref="A12:A13"/>
    <mergeCell ref="B12:B13"/>
    <mergeCell ref="A14:A15"/>
    <mergeCell ref="B14:B15"/>
  </mergeCells>
  <conditionalFormatting sqref="A6:B6 C6:D67 F6:G67 J6:AM67 A8:B8 A10:B10 A12:B12 A14:B14 A16:B16 A18:B18 A20:B20 A22:B22 A24:B24 A26:B26 A28:B28 A30:B30 A32:B32 A34:B34 A36:B36 A38:B38 A40:B40 A42:B42 A44:B44 A46:B46 A48:B48 A50:B50 A52:B52 A54:B54 A56:B56 A58:B58 A60:B60 A62:B62 A64:B64 A66:B66">
    <cfRule type="expression" dxfId="25" priority="1">
      <formula>TEXT($A5,"ddd")="Fri"</formula>
    </cfRule>
  </conditionalFormatting>
  <conditionalFormatting sqref="J6:AM67 A6:B6 C6:D67 F6:G67 A8:B8 A10:B10 A12:B12 A14:B14 A16:B16 A18:B18 A20:B20 A22:B22 A24:B24 A26:B26 A28:B28 A30:B30 A32:B32 A34:B34 A36:B36 A38:B38 A40:B40 A42:B42 A44:B44 A46:B46 A48:B48 A50:B50 A52:B52 A54:B54 A56:B56 A58:B58 A60:B60 A62:B62 A64:B64 A66:B66">
    <cfRule type="expression" dxfId="24" priority="3">
      <formula>TEXT($A6,"ddd")="Fri"</formula>
    </cfRule>
  </conditionalFormatting>
  <conditionalFormatting sqref="K6:AG67">
    <cfRule type="cellIs" dxfId="23" priority="2" operator="greaterThan">
      <formula>0</formula>
    </cfRule>
  </conditionalFormatting>
  <pageMargins left="0.1" right="0.25" top="0.53" bottom="0.03" header="0" footer="0"/>
  <pageSetup paperSize="9" scale="5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A6727-E9D5-4C11-A125-B1F9CF630F98}">
  <sheetPr>
    <tabColor rgb="FF002060"/>
  </sheetPr>
  <dimension ref="A1:AM41"/>
  <sheetViews>
    <sheetView showGridLines="0" zoomScale="90" zoomScaleNormal="90" workbookViewId="0">
      <pane xSplit="3" ySplit="5" topLeftCell="D26" activePane="bottomRight" state="frozen"/>
      <selection pane="topRight" activeCell="D1" sqref="D1"/>
      <selection pane="bottomLeft" activeCell="A5" sqref="A5"/>
      <selection pane="bottomRight" activeCell="L32" sqref="L32"/>
    </sheetView>
  </sheetViews>
  <sheetFormatPr defaultColWidth="9.140625" defaultRowHeight="12.75" outlineLevelCol="1" x14ac:dyDescent="0.25"/>
  <cols>
    <col min="1" max="1" width="9.140625" style="1" bestFit="1" customWidth="1"/>
    <col min="2" max="2" width="4.85546875" style="1" bestFit="1" customWidth="1"/>
    <col min="3" max="3" width="7.85546875" style="13" bestFit="1" customWidth="1"/>
    <col min="4" max="4" width="15" style="1" bestFit="1" customWidth="1"/>
    <col min="5" max="5" width="6" style="1" bestFit="1" customWidth="1"/>
    <col min="6" max="6" width="6.28515625" style="1" customWidth="1"/>
    <col min="7" max="7" width="4" style="1" bestFit="1" customWidth="1"/>
    <col min="8" max="8" width="6" style="1" bestFit="1" customWidth="1"/>
    <col min="9" max="9" width="4.42578125" style="1" bestFit="1" customWidth="1"/>
    <col min="10" max="10" width="5.85546875" style="1" customWidth="1"/>
    <col min="11" max="19" width="3.28515625" style="1" customWidth="1" outlineLevel="1"/>
    <col min="20" max="20" width="5" style="1" customWidth="1" outlineLevel="1"/>
    <col min="21" max="33" width="3.28515625" style="1" customWidth="1" outlineLevel="1"/>
    <col min="34" max="34" width="5" style="14" bestFit="1" customWidth="1"/>
    <col min="35" max="37" width="6.140625" style="1" bestFit="1" customWidth="1"/>
    <col min="38" max="38" width="5.140625" style="16" bestFit="1" customWidth="1"/>
    <col min="39" max="39" width="32.140625" style="28" customWidth="1"/>
    <col min="40" max="16384" width="9.140625" style="1"/>
  </cols>
  <sheetData>
    <row r="1" spans="1:39" ht="25.5" x14ac:dyDescent="0.25">
      <c r="A1" s="316" t="s">
        <v>0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  <c r="AF1" s="317"/>
      <c r="AG1" s="317"/>
      <c r="AH1" s="317"/>
      <c r="AI1" s="317"/>
      <c r="AJ1" s="317"/>
      <c r="AK1" s="317"/>
      <c r="AL1" s="317"/>
      <c r="AM1" s="317"/>
    </row>
    <row r="2" spans="1:39" x14ac:dyDescent="0.25">
      <c r="A2" s="318" t="s">
        <v>1</v>
      </c>
      <c r="B2" s="319"/>
      <c r="C2" s="319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  <c r="AA2" s="319"/>
      <c r="AB2" s="319"/>
      <c r="AC2" s="319"/>
      <c r="AD2" s="319"/>
      <c r="AE2" s="319"/>
      <c r="AF2" s="319"/>
      <c r="AG2" s="319"/>
      <c r="AH2" s="319"/>
      <c r="AI2" s="319"/>
      <c r="AJ2" s="319"/>
      <c r="AK2" s="319"/>
      <c r="AL2" s="319"/>
      <c r="AM2" s="319"/>
    </row>
    <row r="3" spans="1:39" ht="13.5" thickBot="1" x14ac:dyDescent="0.3">
      <c r="A3" s="214" t="str">
        <f>"Fan Rechargeable ("&amp;TEXT('Fan Lathe'!AM3,"mmmm yyyy")&amp;")"</f>
        <v>Fan Rechargeable (January 2026)</v>
      </c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5"/>
      <c r="AD3" s="215"/>
      <c r="AE3" s="215"/>
      <c r="AF3" s="215"/>
      <c r="AG3" s="215"/>
      <c r="AH3" s="215"/>
      <c r="AI3" s="215"/>
      <c r="AJ3" s="215"/>
      <c r="AK3" s="215"/>
      <c r="AL3" s="215"/>
      <c r="AM3" s="216">
        <f>'Fan Lathe'!AM3</f>
        <v>46023</v>
      </c>
    </row>
    <row r="4" spans="1:39" ht="13.5" hidden="1" thickBot="1" x14ac:dyDescent="0.3">
      <c r="A4" s="387"/>
      <c r="B4" s="388"/>
      <c r="C4" s="388"/>
      <c r="D4" s="388"/>
      <c r="E4" s="388"/>
      <c r="F4" s="388"/>
      <c r="G4" s="388"/>
      <c r="H4" s="388"/>
      <c r="I4" s="388"/>
      <c r="J4" s="389"/>
      <c r="K4" s="4">
        <v>10</v>
      </c>
      <c r="L4" s="4">
        <v>11</v>
      </c>
      <c r="M4" s="4">
        <v>12</v>
      </c>
      <c r="N4" s="4">
        <v>13</v>
      </c>
      <c r="O4" s="4">
        <v>14</v>
      </c>
      <c r="P4" s="4">
        <v>15</v>
      </c>
      <c r="Q4" s="4">
        <v>16</v>
      </c>
      <c r="R4" s="4">
        <v>17</v>
      </c>
      <c r="S4" s="4">
        <v>18</v>
      </c>
      <c r="T4" s="4">
        <v>19</v>
      </c>
      <c r="U4" s="4">
        <v>20</v>
      </c>
      <c r="V4" s="4">
        <v>21</v>
      </c>
      <c r="W4" s="4">
        <v>22</v>
      </c>
      <c r="X4" s="4">
        <v>23</v>
      </c>
      <c r="Y4" s="4">
        <v>24</v>
      </c>
      <c r="Z4" s="4">
        <v>25</v>
      </c>
      <c r="AA4" s="4">
        <v>26</v>
      </c>
      <c r="AB4" s="4">
        <v>27</v>
      </c>
      <c r="AC4" s="4">
        <v>28</v>
      </c>
      <c r="AD4" s="4">
        <v>29</v>
      </c>
      <c r="AE4" s="4">
        <v>30</v>
      </c>
      <c r="AF4" s="4">
        <v>31</v>
      </c>
      <c r="AG4" s="4">
        <v>32</v>
      </c>
      <c r="AH4" s="387"/>
      <c r="AI4" s="388"/>
      <c r="AJ4" s="388"/>
      <c r="AK4" s="388"/>
      <c r="AL4" s="388"/>
      <c r="AM4" s="389"/>
    </row>
    <row r="5" spans="1:39" s="5" customFormat="1" ht="110.25" customHeight="1" x14ac:dyDescent="0.25">
      <c r="A5" s="73" t="s">
        <v>2</v>
      </c>
      <c r="B5" s="74" t="s">
        <v>3</v>
      </c>
      <c r="C5" s="74" t="s">
        <v>4</v>
      </c>
      <c r="D5" s="74" t="s">
        <v>5</v>
      </c>
      <c r="E5" s="74" t="s">
        <v>35</v>
      </c>
      <c r="F5" s="74" t="s">
        <v>41</v>
      </c>
      <c r="G5" s="74" t="s">
        <v>6</v>
      </c>
      <c r="H5" s="74" t="s">
        <v>26</v>
      </c>
      <c r="I5" s="74" t="s">
        <v>42</v>
      </c>
      <c r="J5" s="75" t="s">
        <v>43</v>
      </c>
      <c r="K5" s="76" t="s">
        <v>28</v>
      </c>
      <c r="L5" s="30" t="s">
        <v>29</v>
      </c>
      <c r="M5" s="30" t="s">
        <v>27</v>
      </c>
      <c r="N5" s="30" t="s">
        <v>8</v>
      </c>
      <c r="O5" s="30" t="s">
        <v>38</v>
      </c>
      <c r="P5" s="30" t="s">
        <v>9</v>
      </c>
      <c r="Q5" s="30" t="s">
        <v>10</v>
      </c>
      <c r="R5" s="30" t="s">
        <v>11</v>
      </c>
      <c r="S5" s="30" t="s">
        <v>12</v>
      </c>
      <c r="T5" s="30" t="s">
        <v>13</v>
      </c>
      <c r="U5" s="30" t="s">
        <v>14</v>
      </c>
      <c r="V5" s="30" t="s">
        <v>30</v>
      </c>
      <c r="W5" s="30" t="s">
        <v>44</v>
      </c>
      <c r="X5" s="30" t="s">
        <v>25</v>
      </c>
      <c r="Y5" s="30" t="s">
        <v>31</v>
      </c>
      <c r="Z5" s="30" t="s">
        <v>32</v>
      </c>
      <c r="AA5" s="30" t="s">
        <v>15</v>
      </c>
      <c r="AB5" s="30" t="s">
        <v>16</v>
      </c>
      <c r="AC5" s="30" t="s">
        <v>33</v>
      </c>
      <c r="AD5" s="30" t="s">
        <v>36</v>
      </c>
      <c r="AE5" s="30" t="s">
        <v>40</v>
      </c>
      <c r="AF5" s="30" t="s">
        <v>37</v>
      </c>
      <c r="AG5" s="30" t="s">
        <v>39</v>
      </c>
      <c r="AH5" s="77" t="s">
        <v>17</v>
      </c>
      <c r="AI5" s="74" t="s">
        <v>18</v>
      </c>
      <c r="AJ5" s="74" t="s">
        <v>19</v>
      </c>
      <c r="AK5" s="74" t="s">
        <v>20</v>
      </c>
      <c r="AL5" s="78" t="s">
        <v>21</v>
      </c>
      <c r="AM5" s="79" t="s">
        <v>22</v>
      </c>
    </row>
    <row r="6" spans="1:39" s="7" customFormat="1" ht="12.75" customHeight="1" x14ac:dyDescent="0.2">
      <c r="A6" s="44">
        <f>AM3</f>
        <v>46023</v>
      </c>
      <c r="B6" s="45">
        <f>A6</f>
        <v>46023</v>
      </c>
      <c r="C6" s="46" t="s">
        <v>23</v>
      </c>
      <c r="D6" s="9" t="s">
        <v>24</v>
      </c>
      <c r="E6" s="228">
        <v>65</v>
      </c>
      <c r="F6" s="229">
        <v>65</v>
      </c>
      <c r="G6" s="230"/>
      <c r="H6" s="231">
        <v>660</v>
      </c>
      <c r="I6" s="47">
        <f>IF(E6&lt;&gt;"",30,0)</f>
        <v>30</v>
      </c>
      <c r="J6" s="48">
        <f>H6-AH6</f>
        <v>630</v>
      </c>
      <c r="K6" s="232"/>
      <c r="L6" s="232"/>
      <c r="M6" s="232"/>
      <c r="N6" s="232"/>
      <c r="O6" s="232"/>
      <c r="P6" s="232"/>
      <c r="Q6" s="232"/>
      <c r="R6" s="232"/>
      <c r="S6" s="232"/>
      <c r="T6" s="232"/>
      <c r="U6" s="232"/>
      <c r="V6" s="232"/>
      <c r="W6" s="232"/>
      <c r="X6" s="232"/>
      <c r="Y6" s="232"/>
      <c r="Z6" s="21">
        <f>IF(E6&lt;&gt;"",30,0)</f>
        <v>30</v>
      </c>
      <c r="AA6" s="232"/>
      <c r="AB6" s="232"/>
      <c r="AC6" s="232"/>
      <c r="AD6" s="232"/>
      <c r="AE6" s="232"/>
      <c r="AF6" s="232"/>
      <c r="AG6" s="232"/>
      <c r="AH6" s="49">
        <f>SUM(K6:AG6)</f>
        <v>30</v>
      </c>
      <c r="AI6" s="6">
        <f t="shared" ref="AI6:AI36" si="0">IFERROR(J6/H6,"0")</f>
        <v>0.95454545454545459</v>
      </c>
      <c r="AJ6" s="6">
        <f t="shared" ref="AJ6:AJ36" si="1">IFERROR(F6/E6,"0")</f>
        <v>1</v>
      </c>
      <c r="AK6" s="6">
        <f>IFERROR(F6/(F6+G6),"0")</f>
        <v>1</v>
      </c>
      <c r="AL6" s="6">
        <f>IFERROR(AK6*AJ6*AI6,"0")</f>
        <v>0.95454545454545459</v>
      </c>
      <c r="AM6" s="241"/>
    </row>
    <row r="7" spans="1:39" s="7" customFormat="1" x14ac:dyDescent="0.25">
      <c r="A7" s="44">
        <f>A6+1</f>
        <v>46024</v>
      </c>
      <c r="B7" s="45">
        <f t="shared" ref="B7:B36" si="2">A7</f>
        <v>46024</v>
      </c>
      <c r="C7" s="46" t="s">
        <v>23</v>
      </c>
      <c r="D7" s="9" t="s">
        <v>24</v>
      </c>
      <c r="E7" s="228">
        <v>50</v>
      </c>
      <c r="F7" s="229">
        <v>50</v>
      </c>
      <c r="G7" s="230"/>
      <c r="H7" s="231">
        <v>480</v>
      </c>
      <c r="I7" s="11">
        <f t="shared" ref="I7:I36" si="3">IF(E7&lt;&gt;"",30,0)</f>
        <v>30</v>
      </c>
      <c r="J7" s="48">
        <f t="shared" ref="J7:J36" si="4">H7-AH7</f>
        <v>450</v>
      </c>
      <c r="K7" s="232"/>
      <c r="L7" s="232"/>
      <c r="M7" s="232"/>
      <c r="N7" s="232"/>
      <c r="O7" s="232"/>
      <c r="P7" s="232"/>
      <c r="Q7" s="232"/>
      <c r="R7" s="232"/>
      <c r="S7" s="232"/>
      <c r="T7" s="232"/>
      <c r="U7" s="232"/>
      <c r="V7" s="232"/>
      <c r="W7" s="232"/>
      <c r="X7" s="232"/>
      <c r="Y7" s="232"/>
      <c r="Z7" s="21">
        <f t="shared" ref="Z7:Z36" si="5">IF(E7&lt;&gt;"",30,0)</f>
        <v>30</v>
      </c>
      <c r="AA7" s="232"/>
      <c r="AB7" s="232"/>
      <c r="AC7" s="232"/>
      <c r="AD7" s="232"/>
      <c r="AE7" s="232"/>
      <c r="AF7" s="232"/>
      <c r="AG7" s="232"/>
      <c r="AH7" s="49">
        <f>SUM(K7:AG7)</f>
        <v>30</v>
      </c>
      <c r="AI7" s="6">
        <f t="shared" si="0"/>
        <v>0.9375</v>
      </c>
      <c r="AJ7" s="6">
        <f t="shared" si="1"/>
        <v>1</v>
      </c>
      <c r="AK7" s="6">
        <f>IFERROR(F7/(F7+G7),"0")</f>
        <v>1</v>
      </c>
      <c r="AL7" s="6">
        <f>IFERROR(AK7*AJ7*AI7,"0")</f>
        <v>0.9375</v>
      </c>
      <c r="AM7" s="241"/>
    </row>
    <row r="8" spans="1:39" s="7" customFormat="1" x14ac:dyDescent="0.25">
      <c r="A8" s="44">
        <f t="shared" ref="A8:A36" si="6">A7+1</f>
        <v>46025</v>
      </c>
      <c r="B8" s="45">
        <f t="shared" si="2"/>
        <v>46025</v>
      </c>
      <c r="C8" s="46" t="s">
        <v>23</v>
      </c>
      <c r="D8" s="9" t="s">
        <v>24</v>
      </c>
      <c r="E8" s="228">
        <v>65</v>
      </c>
      <c r="F8" s="229">
        <v>65</v>
      </c>
      <c r="G8" s="230"/>
      <c r="H8" s="231">
        <v>660</v>
      </c>
      <c r="I8" s="11">
        <f t="shared" si="3"/>
        <v>30</v>
      </c>
      <c r="J8" s="48">
        <f t="shared" si="4"/>
        <v>630</v>
      </c>
      <c r="K8" s="232"/>
      <c r="L8" s="232"/>
      <c r="M8" s="232"/>
      <c r="N8" s="232"/>
      <c r="O8" s="232"/>
      <c r="P8" s="232"/>
      <c r="Q8" s="232"/>
      <c r="R8" s="232"/>
      <c r="S8" s="232"/>
      <c r="T8" s="232"/>
      <c r="U8" s="232"/>
      <c r="V8" s="232"/>
      <c r="W8" s="232"/>
      <c r="X8" s="232"/>
      <c r="Y8" s="232"/>
      <c r="Z8" s="21">
        <f t="shared" si="5"/>
        <v>30</v>
      </c>
      <c r="AA8" s="232"/>
      <c r="AB8" s="232"/>
      <c r="AC8" s="232"/>
      <c r="AD8" s="232"/>
      <c r="AE8" s="232"/>
      <c r="AF8" s="232"/>
      <c r="AG8" s="232"/>
      <c r="AH8" s="49">
        <f t="shared" ref="AH8:AH36" si="7">SUM(K8:AG8)</f>
        <v>30</v>
      </c>
      <c r="AI8" s="6">
        <f t="shared" si="0"/>
        <v>0.95454545454545459</v>
      </c>
      <c r="AJ8" s="6">
        <f t="shared" si="1"/>
        <v>1</v>
      </c>
      <c r="AK8" s="6">
        <f t="shared" ref="AK8:AK36" si="8">IFERROR(F8/(F8+G8),"0")</f>
        <v>1</v>
      </c>
      <c r="AL8" s="6">
        <f t="shared" ref="AL8:AL36" si="9">IFERROR(AK8*AJ8*AI8,"0")</f>
        <v>0.95454545454545459</v>
      </c>
      <c r="AM8" s="241"/>
    </row>
    <row r="9" spans="1:39" s="7" customFormat="1" x14ac:dyDescent="0.25">
      <c r="A9" s="44">
        <f t="shared" si="6"/>
        <v>46026</v>
      </c>
      <c r="B9" s="45">
        <f t="shared" si="2"/>
        <v>46026</v>
      </c>
      <c r="C9" s="46" t="s">
        <v>23</v>
      </c>
      <c r="D9" s="9" t="s">
        <v>24</v>
      </c>
      <c r="E9" s="228">
        <v>65</v>
      </c>
      <c r="F9" s="229">
        <v>65</v>
      </c>
      <c r="G9" s="230"/>
      <c r="H9" s="231">
        <v>660</v>
      </c>
      <c r="I9" s="11">
        <f t="shared" si="3"/>
        <v>30</v>
      </c>
      <c r="J9" s="48">
        <f t="shared" si="4"/>
        <v>630</v>
      </c>
      <c r="K9" s="232"/>
      <c r="L9" s="232"/>
      <c r="M9" s="232"/>
      <c r="N9" s="232"/>
      <c r="O9" s="232"/>
      <c r="P9" s="232"/>
      <c r="Q9" s="232"/>
      <c r="R9" s="232"/>
      <c r="S9" s="232"/>
      <c r="T9" s="232"/>
      <c r="U9" s="232"/>
      <c r="V9" s="232"/>
      <c r="W9" s="232"/>
      <c r="X9" s="232"/>
      <c r="Y9" s="232"/>
      <c r="Z9" s="21">
        <f t="shared" si="5"/>
        <v>30</v>
      </c>
      <c r="AA9" s="232"/>
      <c r="AB9" s="232"/>
      <c r="AC9" s="232"/>
      <c r="AD9" s="232"/>
      <c r="AE9" s="232"/>
      <c r="AF9" s="232"/>
      <c r="AG9" s="232"/>
      <c r="AH9" s="49">
        <f t="shared" si="7"/>
        <v>30</v>
      </c>
      <c r="AI9" s="6">
        <f t="shared" si="0"/>
        <v>0.95454545454545459</v>
      </c>
      <c r="AJ9" s="6">
        <f t="shared" si="1"/>
        <v>1</v>
      </c>
      <c r="AK9" s="6">
        <f t="shared" si="8"/>
        <v>1</v>
      </c>
      <c r="AL9" s="6">
        <f t="shared" si="9"/>
        <v>0.95454545454545459</v>
      </c>
      <c r="AM9" s="241"/>
    </row>
    <row r="10" spans="1:39" s="7" customFormat="1" x14ac:dyDescent="0.25">
      <c r="A10" s="44">
        <f t="shared" si="6"/>
        <v>46027</v>
      </c>
      <c r="B10" s="45">
        <f t="shared" si="2"/>
        <v>46027</v>
      </c>
      <c r="C10" s="46" t="s">
        <v>23</v>
      </c>
      <c r="D10" s="9" t="s">
        <v>24</v>
      </c>
      <c r="E10" s="228">
        <v>65</v>
      </c>
      <c r="F10" s="229">
        <v>65</v>
      </c>
      <c r="G10" s="230"/>
      <c r="H10" s="231">
        <v>660</v>
      </c>
      <c r="I10" s="11">
        <f t="shared" si="3"/>
        <v>30</v>
      </c>
      <c r="J10" s="48">
        <f t="shared" si="4"/>
        <v>630</v>
      </c>
      <c r="K10" s="232"/>
      <c r="L10" s="232"/>
      <c r="M10" s="232"/>
      <c r="N10" s="232"/>
      <c r="O10" s="232"/>
      <c r="P10" s="232"/>
      <c r="Q10" s="232"/>
      <c r="R10" s="232"/>
      <c r="S10" s="232"/>
      <c r="T10" s="232"/>
      <c r="U10" s="232"/>
      <c r="V10" s="232"/>
      <c r="W10" s="232"/>
      <c r="X10" s="232"/>
      <c r="Y10" s="232"/>
      <c r="Z10" s="21">
        <f t="shared" si="5"/>
        <v>30</v>
      </c>
      <c r="AA10" s="232"/>
      <c r="AB10" s="232"/>
      <c r="AC10" s="232"/>
      <c r="AD10" s="232"/>
      <c r="AE10" s="232"/>
      <c r="AF10" s="232"/>
      <c r="AG10" s="232"/>
      <c r="AH10" s="49">
        <f t="shared" si="7"/>
        <v>30</v>
      </c>
      <c r="AI10" s="6">
        <f t="shared" si="0"/>
        <v>0.95454545454545459</v>
      </c>
      <c r="AJ10" s="6">
        <f t="shared" si="1"/>
        <v>1</v>
      </c>
      <c r="AK10" s="6">
        <f t="shared" si="8"/>
        <v>1</v>
      </c>
      <c r="AL10" s="6">
        <f t="shared" si="9"/>
        <v>0.95454545454545459</v>
      </c>
      <c r="AM10" s="241"/>
    </row>
    <row r="11" spans="1:39" s="7" customFormat="1" ht="16.5" customHeight="1" x14ac:dyDescent="0.2">
      <c r="A11" s="44">
        <f t="shared" si="6"/>
        <v>46028</v>
      </c>
      <c r="B11" s="45">
        <f t="shared" si="2"/>
        <v>46028</v>
      </c>
      <c r="C11" s="46" t="s">
        <v>23</v>
      </c>
      <c r="D11" s="9" t="s">
        <v>24</v>
      </c>
      <c r="E11" s="228">
        <v>65</v>
      </c>
      <c r="F11" s="229">
        <v>65</v>
      </c>
      <c r="G11" s="230"/>
      <c r="H11" s="231">
        <v>660</v>
      </c>
      <c r="I11" s="47">
        <f t="shared" si="3"/>
        <v>30</v>
      </c>
      <c r="J11" s="48">
        <f t="shared" si="4"/>
        <v>630</v>
      </c>
      <c r="K11" s="232"/>
      <c r="L11" s="232"/>
      <c r="M11" s="232"/>
      <c r="N11" s="232"/>
      <c r="O11" s="232"/>
      <c r="P11" s="232"/>
      <c r="Q11" s="232"/>
      <c r="R11" s="232"/>
      <c r="S11" s="232"/>
      <c r="T11" s="232"/>
      <c r="U11" s="232"/>
      <c r="V11" s="232"/>
      <c r="W11" s="232"/>
      <c r="X11" s="232"/>
      <c r="Y11" s="232"/>
      <c r="Z11" s="21">
        <f t="shared" si="5"/>
        <v>30</v>
      </c>
      <c r="AA11" s="232"/>
      <c r="AB11" s="232"/>
      <c r="AC11" s="232"/>
      <c r="AD11" s="232"/>
      <c r="AE11" s="232"/>
      <c r="AF11" s="232"/>
      <c r="AG11" s="232"/>
      <c r="AH11" s="49">
        <f t="shared" si="7"/>
        <v>30</v>
      </c>
      <c r="AI11" s="6">
        <f t="shared" si="0"/>
        <v>0.95454545454545459</v>
      </c>
      <c r="AJ11" s="6">
        <f t="shared" si="1"/>
        <v>1</v>
      </c>
      <c r="AK11" s="6">
        <f t="shared" si="8"/>
        <v>1</v>
      </c>
      <c r="AL11" s="6">
        <f t="shared" si="9"/>
        <v>0.95454545454545459</v>
      </c>
      <c r="AM11" s="241"/>
    </row>
    <row r="12" spans="1:39" s="7" customFormat="1" x14ac:dyDescent="0.25">
      <c r="A12" s="44">
        <f t="shared" si="6"/>
        <v>46029</v>
      </c>
      <c r="B12" s="45">
        <f t="shared" si="2"/>
        <v>46029</v>
      </c>
      <c r="C12" s="46" t="s">
        <v>23</v>
      </c>
      <c r="D12" s="9" t="s">
        <v>24</v>
      </c>
      <c r="E12" s="228">
        <v>65</v>
      </c>
      <c r="F12" s="229">
        <v>65</v>
      </c>
      <c r="G12" s="230"/>
      <c r="H12" s="231">
        <v>660</v>
      </c>
      <c r="I12" s="11">
        <f t="shared" si="3"/>
        <v>30</v>
      </c>
      <c r="J12" s="48">
        <f t="shared" si="4"/>
        <v>630</v>
      </c>
      <c r="K12" s="232"/>
      <c r="L12" s="232"/>
      <c r="M12" s="232"/>
      <c r="N12" s="232"/>
      <c r="O12" s="232"/>
      <c r="P12" s="232"/>
      <c r="Q12" s="232"/>
      <c r="R12" s="232"/>
      <c r="S12" s="232"/>
      <c r="T12" s="232"/>
      <c r="U12" s="232"/>
      <c r="V12" s="232"/>
      <c r="W12" s="232"/>
      <c r="X12" s="232"/>
      <c r="Y12" s="232"/>
      <c r="Z12" s="21">
        <f t="shared" si="5"/>
        <v>30</v>
      </c>
      <c r="AA12" s="232"/>
      <c r="AB12" s="232"/>
      <c r="AC12" s="232"/>
      <c r="AD12" s="232"/>
      <c r="AE12" s="232"/>
      <c r="AF12" s="232"/>
      <c r="AG12" s="232"/>
      <c r="AH12" s="49">
        <f t="shared" si="7"/>
        <v>30</v>
      </c>
      <c r="AI12" s="6">
        <f t="shared" si="0"/>
        <v>0.95454545454545459</v>
      </c>
      <c r="AJ12" s="6">
        <f t="shared" si="1"/>
        <v>1</v>
      </c>
      <c r="AK12" s="6">
        <f t="shared" si="8"/>
        <v>1</v>
      </c>
      <c r="AL12" s="6">
        <f t="shared" si="9"/>
        <v>0.95454545454545459</v>
      </c>
      <c r="AM12" s="241"/>
    </row>
    <row r="13" spans="1:39" s="7" customFormat="1" x14ac:dyDescent="0.25">
      <c r="A13" s="44">
        <f t="shared" si="6"/>
        <v>46030</v>
      </c>
      <c r="B13" s="45">
        <f t="shared" si="2"/>
        <v>46030</v>
      </c>
      <c r="C13" s="46" t="s">
        <v>23</v>
      </c>
      <c r="D13" s="9" t="s">
        <v>24</v>
      </c>
      <c r="E13" s="228">
        <v>65</v>
      </c>
      <c r="F13" s="229">
        <v>65</v>
      </c>
      <c r="G13" s="230"/>
      <c r="H13" s="231">
        <v>480</v>
      </c>
      <c r="I13" s="11">
        <f t="shared" si="3"/>
        <v>30</v>
      </c>
      <c r="J13" s="48">
        <f t="shared" si="4"/>
        <v>450</v>
      </c>
      <c r="K13" s="232"/>
      <c r="L13" s="232"/>
      <c r="M13" s="232"/>
      <c r="N13" s="232"/>
      <c r="O13" s="232"/>
      <c r="P13" s="232"/>
      <c r="Q13" s="232"/>
      <c r="R13" s="232"/>
      <c r="S13" s="232"/>
      <c r="T13" s="232"/>
      <c r="U13" s="232"/>
      <c r="V13" s="232"/>
      <c r="W13" s="232"/>
      <c r="X13" s="232"/>
      <c r="Y13" s="232"/>
      <c r="Z13" s="21">
        <f t="shared" si="5"/>
        <v>30</v>
      </c>
      <c r="AA13" s="232"/>
      <c r="AB13" s="232"/>
      <c r="AC13" s="232"/>
      <c r="AD13" s="232"/>
      <c r="AE13" s="232"/>
      <c r="AF13" s="232"/>
      <c r="AG13" s="232"/>
      <c r="AH13" s="49">
        <f t="shared" si="7"/>
        <v>30</v>
      </c>
      <c r="AI13" s="6">
        <f t="shared" si="0"/>
        <v>0.9375</v>
      </c>
      <c r="AJ13" s="6">
        <f t="shared" si="1"/>
        <v>1</v>
      </c>
      <c r="AK13" s="6">
        <f t="shared" si="8"/>
        <v>1</v>
      </c>
      <c r="AL13" s="6">
        <f t="shared" si="9"/>
        <v>0.9375</v>
      </c>
      <c r="AM13" s="241"/>
    </row>
    <row r="14" spans="1:39" s="7" customFormat="1" x14ac:dyDescent="0.25">
      <c r="A14" s="44">
        <f t="shared" si="6"/>
        <v>46031</v>
      </c>
      <c r="B14" s="45">
        <f t="shared" si="2"/>
        <v>46031</v>
      </c>
      <c r="C14" s="46" t="s">
        <v>23</v>
      </c>
      <c r="D14" s="9" t="s">
        <v>24</v>
      </c>
      <c r="E14" s="228"/>
      <c r="F14" s="229"/>
      <c r="G14" s="230"/>
      <c r="H14" s="231"/>
      <c r="I14" s="11">
        <f t="shared" si="3"/>
        <v>0</v>
      </c>
      <c r="J14" s="48">
        <f t="shared" si="4"/>
        <v>0</v>
      </c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1">
        <f t="shared" si="5"/>
        <v>0</v>
      </c>
      <c r="AA14" s="232"/>
      <c r="AB14" s="232"/>
      <c r="AC14" s="232"/>
      <c r="AD14" s="232"/>
      <c r="AE14" s="232"/>
      <c r="AF14" s="232"/>
      <c r="AG14" s="232"/>
      <c r="AH14" s="49">
        <f t="shared" si="7"/>
        <v>0</v>
      </c>
      <c r="AI14" s="6" t="str">
        <f t="shared" si="0"/>
        <v>0</v>
      </c>
      <c r="AJ14" s="6" t="str">
        <f t="shared" si="1"/>
        <v>0</v>
      </c>
      <c r="AK14" s="6" t="str">
        <f t="shared" si="8"/>
        <v>0</v>
      </c>
      <c r="AL14" s="6">
        <f t="shared" si="9"/>
        <v>0</v>
      </c>
      <c r="AM14" s="241"/>
    </row>
    <row r="15" spans="1:39" s="7" customFormat="1" x14ac:dyDescent="0.25">
      <c r="A15" s="44">
        <f t="shared" si="6"/>
        <v>46032</v>
      </c>
      <c r="B15" s="45">
        <f t="shared" si="2"/>
        <v>46032</v>
      </c>
      <c r="C15" s="46" t="s">
        <v>23</v>
      </c>
      <c r="D15" s="9" t="s">
        <v>24</v>
      </c>
      <c r="E15" s="228">
        <v>65</v>
      </c>
      <c r="F15" s="229">
        <v>65</v>
      </c>
      <c r="G15" s="230"/>
      <c r="H15" s="231">
        <v>660</v>
      </c>
      <c r="I15" s="11">
        <f t="shared" si="3"/>
        <v>30</v>
      </c>
      <c r="J15" s="48">
        <f t="shared" si="4"/>
        <v>630</v>
      </c>
      <c r="K15" s="232"/>
      <c r="L15" s="232"/>
      <c r="M15" s="232"/>
      <c r="N15" s="232"/>
      <c r="O15" s="232"/>
      <c r="P15" s="232"/>
      <c r="Q15" s="232"/>
      <c r="R15" s="232"/>
      <c r="S15" s="232"/>
      <c r="T15" s="232"/>
      <c r="U15" s="232"/>
      <c r="V15" s="232"/>
      <c r="W15" s="232"/>
      <c r="X15" s="232"/>
      <c r="Y15" s="232"/>
      <c r="Z15" s="21">
        <f t="shared" si="5"/>
        <v>30</v>
      </c>
      <c r="AA15" s="232"/>
      <c r="AB15" s="232"/>
      <c r="AC15" s="232"/>
      <c r="AD15" s="232"/>
      <c r="AE15" s="232"/>
      <c r="AF15" s="232"/>
      <c r="AG15" s="232"/>
      <c r="AH15" s="49">
        <f t="shared" si="7"/>
        <v>30</v>
      </c>
      <c r="AI15" s="6">
        <f t="shared" si="0"/>
        <v>0.95454545454545459</v>
      </c>
      <c r="AJ15" s="6">
        <f t="shared" si="1"/>
        <v>1</v>
      </c>
      <c r="AK15" s="6">
        <f t="shared" si="8"/>
        <v>1</v>
      </c>
      <c r="AL15" s="6">
        <f t="shared" si="9"/>
        <v>0.95454545454545459</v>
      </c>
      <c r="AM15" s="241"/>
    </row>
    <row r="16" spans="1:39" s="7" customFormat="1" x14ac:dyDescent="0.25">
      <c r="A16" s="44">
        <f t="shared" si="6"/>
        <v>46033</v>
      </c>
      <c r="B16" s="45">
        <f t="shared" si="2"/>
        <v>46033</v>
      </c>
      <c r="C16" s="46" t="s">
        <v>23</v>
      </c>
      <c r="D16" s="9" t="s">
        <v>24</v>
      </c>
      <c r="E16" s="228">
        <v>62</v>
      </c>
      <c r="F16" s="229">
        <v>62</v>
      </c>
      <c r="G16" s="230"/>
      <c r="H16" s="231">
        <v>660</v>
      </c>
      <c r="I16" s="11">
        <f t="shared" si="3"/>
        <v>30</v>
      </c>
      <c r="J16" s="48">
        <f t="shared" si="4"/>
        <v>630</v>
      </c>
      <c r="K16" s="232"/>
      <c r="L16" s="232"/>
      <c r="M16" s="232"/>
      <c r="N16" s="232"/>
      <c r="O16" s="232"/>
      <c r="P16" s="232"/>
      <c r="Q16" s="232"/>
      <c r="R16" s="232"/>
      <c r="S16" s="232"/>
      <c r="T16" s="232"/>
      <c r="U16" s="232"/>
      <c r="V16" s="232"/>
      <c r="W16" s="232"/>
      <c r="X16" s="232"/>
      <c r="Y16" s="232"/>
      <c r="Z16" s="21">
        <f t="shared" si="5"/>
        <v>30</v>
      </c>
      <c r="AA16" s="232"/>
      <c r="AB16" s="232"/>
      <c r="AC16" s="232"/>
      <c r="AD16" s="232"/>
      <c r="AE16" s="232"/>
      <c r="AF16" s="232"/>
      <c r="AG16" s="232"/>
      <c r="AH16" s="49">
        <f t="shared" si="7"/>
        <v>30</v>
      </c>
      <c r="AI16" s="6">
        <f t="shared" si="0"/>
        <v>0.95454545454545459</v>
      </c>
      <c r="AJ16" s="6">
        <f t="shared" si="1"/>
        <v>1</v>
      </c>
      <c r="AK16" s="6">
        <f t="shared" si="8"/>
        <v>1</v>
      </c>
      <c r="AL16" s="6">
        <f t="shared" si="9"/>
        <v>0.95454545454545459</v>
      </c>
      <c r="AM16" s="241"/>
    </row>
    <row r="17" spans="1:39" s="7" customFormat="1" x14ac:dyDescent="0.25">
      <c r="A17" s="44">
        <f t="shared" si="6"/>
        <v>46034</v>
      </c>
      <c r="B17" s="45">
        <f t="shared" si="2"/>
        <v>46034</v>
      </c>
      <c r="C17" s="46" t="s">
        <v>23</v>
      </c>
      <c r="D17" s="9" t="s">
        <v>24</v>
      </c>
      <c r="E17" s="228">
        <v>62</v>
      </c>
      <c r="F17" s="229">
        <v>62</v>
      </c>
      <c r="G17" s="230"/>
      <c r="H17" s="231">
        <v>660</v>
      </c>
      <c r="I17" s="11">
        <f t="shared" si="3"/>
        <v>30</v>
      </c>
      <c r="J17" s="48">
        <f t="shared" si="4"/>
        <v>630</v>
      </c>
      <c r="K17" s="232"/>
      <c r="L17" s="232"/>
      <c r="M17" s="232"/>
      <c r="N17" s="232"/>
      <c r="O17" s="232"/>
      <c r="P17" s="232"/>
      <c r="Q17" s="232"/>
      <c r="R17" s="232"/>
      <c r="S17" s="232"/>
      <c r="T17" s="232"/>
      <c r="U17" s="232"/>
      <c r="V17" s="232"/>
      <c r="W17" s="232"/>
      <c r="X17" s="232"/>
      <c r="Y17" s="232"/>
      <c r="Z17" s="21">
        <f t="shared" si="5"/>
        <v>30</v>
      </c>
      <c r="AA17" s="232"/>
      <c r="AB17" s="232"/>
      <c r="AC17" s="232"/>
      <c r="AD17" s="232"/>
      <c r="AE17" s="232"/>
      <c r="AF17" s="232"/>
      <c r="AG17" s="232"/>
      <c r="AH17" s="49">
        <f t="shared" si="7"/>
        <v>30</v>
      </c>
      <c r="AI17" s="6">
        <f t="shared" si="0"/>
        <v>0.95454545454545459</v>
      </c>
      <c r="AJ17" s="6">
        <f t="shared" si="1"/>
        <v>1</v>
      </c>
      <c r="AK17" s="6">
        <f t="shared" si="8"/>
        <v>1</v>
      </c>
      <c r="AL17" s="6">
        <f t="shared" si="9"/>
        <v>0.95454545454545459</v>
      </c>
      <c r="AM17" s="241"/>
    </row>
    <row r="18" spans="1:39" s="7" customFormat="1" x14ac:dyDescent="0.25">
      <c r="A18" s="44">
        <f t="shared" si="6"/>
        <v>46035</v>
      </c>
      <c r="B18" s="45">
        <f t="shared" si="2"/>
        <v>46035</v>
      </c>
      <c r="C18" s="46" t="s">
        <v>23</v>
      </c>
      <c r="D18" s="9" t="s">
        <v>24</v>
      </c>
      <c r="E18" s="228">
        <v>62</v>
      </c>
      <c r="F18" s="229">
        <v>62</v>
      </c>
      <c r="G18" s="230"/>
      <c r="H18" s="231">
        <v>660</v>
      </c>
      <c r="I18" s="11">
        <f t="shared" si="3"/>
        <v>30</v>
      </c>
      <c r="J18" s="48">
        <f t="shared" si="4"/>
        <v>630</v>
      </c>
      <c r="K18" s="232"/>
      <c r="L18" s="232"/>
      <c r="M18" s="232"/>
      <c r="N18" s="232"/>
      <c r="O18" s="232"/>
      <c r="P18" s="232"/>
      <c r="Q18" s="232"/>
      <c r="R18" s="232"/>
      <c r="S18" s="232"/>
      <c r="T18" s="232"/>
      <c r="U18" s="232"/>
      <c r="V18" s="232"/>
      <c r="W18" s="232"/>
      <c r="X18" s="232"/>
      <c r="Y18" s="232"/>
      <c r="Z18" s="21">
        <f t="shared" si="5"/>
        <v>30</v>
      </c>
      <c r="AA18" s="232"/>
      <c r="AB18" s="232"/>
      <c r="AC18" s="232"/>
      <c r="AD18" s="232"/>
      <c r="AE18" s="232"/>
      <c r="AF18" s="232"/>
      <c r="AG18" s="232"/>
      <c r="AH18" s="49">
        <f t="shared" si="7"/>
        <v>30</v>
      </c>
      <c r="AI18" s="6">
        <f t="shared" si="0"/>
        <v>0.95454545454545459</v>
      </c>
      <c r="AJ18" s="6">
        <f t="shared" si="1"/>
        <v>1</v>
      </c>
      <c r="AK18" s="6">
        <f t="shared" si="8"/>
        <v>1</v>
      </c>
      <c r="AL18" s="6">
        <f t="shared" si="9"/>
        <v>0.95454545454545459</v>
      </c>
      <c r="AM18" s="241"/>
    </row>
    <row r="19" spans="1:39" s="7" customFormat="1" x14ac:dyDescent="0.25">
      <c r="A19" s="44">
        <f t="shared" si="6"/>
        <v>46036</v>
      </c>
      <c r="B19" s="45">
        <f t="shared" si="2"/>
        <v>46036</v>
      </c>
      <c r="C19" s="46" t="s">
        <v>23</v>
      </c>
      <c r="D19" s="9" t="s">
        <v>24</v>
      </c>
      <c r="E19" s="228">
        <v>62</v>
      </c>
      <c r="F19" s="229">
        <v>62</v>
      </c>
      <c r="G19" s="230"/>
      <c r="H19" s="231">
        <v>660</v>
      </c>
      <c r="I19" s="11">
        <f t="shared" si="3"/>
        <v>30</v>
      </c>
      <c r="J19" s="48">
        <f t="shared" si="4"/>
        <v>630</v>
      </c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2"/>
      <c r="W19" s="232"/>
      <c r="X19" s="232"/>
      <c r="Y19" s="232"/>
      <c r="Z19" s="21">
        <f t="shared" si="5"/>
        <v>30</v>
      </c>
      <c r="AA19" s="232"/>
      <c r="AB19" s="232"/>
      <c r="AC19" s="232"/>
      <c r="AD19" s="232"/>
      <c r="AE19" s="232"/>
      <c r="AF19" s="232"/>
      <c r="AG19" s="232"/>
      <c r="AH19" s="49">
        <f t="shared" si="7"/>
        <v>30</v>
      </c>
      <c r="AI19" s="6">
        <f t="shared" si="0"/>
        <v>0.95454545454545459</v>
      </c>
      <c r="AJ19" s="6">
        <f t="shared" si="1"/>
        <v>1</v>
      </c>
      <c r="AK19" s="6">
        <f t="shared" si="8"/>
        <v>1</v>
      </c>
      <c r="AL19" s="6">
        <f t="shared" si="9"/>
        <v>0.95454545454545459</v>
      </c>
      <c r="AM19" s="241"/>
    </row>
    <row r="20" spans="1:39" s="7" customFormat="1" x14ac:dyDescent="0.25">
      <c r="A20" s="44">
        <f t="shared" si="6"/>
        <v>46037</v>
      </c>
      <c r="B20" s="45">
        <f t="shared" si="2"/>
        <v>46037</v>
      </c>
      <c r="C20" s="46" t="s">
        <v>23</v>
      </c>
      <c r="D20" s="9" t="s">
        <v>24</v>
      </c>
      <c r="E20" s="228">
        <v>62</v>
      </c>
      <c r="F20" s="229">
        <v>62</v>
      </c>
      <c r="G20" s="230"/>
      <c r="H20" s="231">
        <v>660</v>
      </c>
      <c r="I20" s="11">
        <f t="shared" si="3"/>
        <v>30</v>
      </c>
      <c r="J20" s="48">
        <f t="shared" si="4"/>
        <v>630</v>
      </c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232"/>
      <c r="W20" s="232"/>
      <c r="X20" s="232"/>
      <c r="Y20" s="232"/>
      <c r="Z20" s="21">
        <f t="shared" si="5"/>
        <v>30</v>
      </c>
      <c r="AA20" s="232"/>
      <c r="AB20" s="232"/>
      <c r="AC20" s="232"/>
      <c r="AD20" s="232"/>
      <c r="AE20" s="232"/>
      <c r="AF20" s="232"/>
      <c r="AG20" s="232"/>
      <c r="AH20" s="49">
        <f t="shared" si="7"/>
        <v>30</v>
      </c>
      <c r="AI20" s="6">
        <f t="shared" si="0"/>
        <v>0.95454545454545459</v>
      </c>
      <c r="AJ20" s="6">
        <f t="shared" si="1"/>
        <v>1</v>
      </c>
      <c r="AK20" s="6">
        <f t="shared" si="8"/>
        <v>1</v>
      </c>
      <c r="AL20" s="6">
        <f t="shared" si="9"/>
        <v>0.95454545454545459</v>
      </c>
      <c r="AM20" s="241"/>
    </row>
    <row r="21" spans="1:39" s="7" customFormat="1" x14ac:dyDescent="0.25">
      <c r="A21" s="44">
        <f t="shared" si="6"/>
        <v>46038</v>
      </c>
      <c r="B21" s="45">
        <f t="shared" si="2"/>
        <v>46038</v>
      </c>
      <c r="C21" s="46" t="s">
        <v>23</v>
      </c>
      <c r="D21" s="9" t="s">
        <v>24</v>
      </c>
      <c r="E21" s="228">
        <v>50</v>
      </c>
      <c r="F21" s="229">
        <v>50</v>
      </c>
      <c r="G21" s="230"/>
      <c r="H21" s="231">
        <v>480</v>
      </c>
      <c r="I21" s="11">
        <f t="shared" si="3"/>
        <v>30</v>
      </c>
      <c r="J21" s="48">
        <f t="shared" si="4"/>
        <v>450</v>
      </c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2"/>
      <c r="W21" s="232"/>
      <c r="X21" s="232"/>
      <c r="Y21" s="232"/>
      <c r="Z21" s="21">
        <f t="shared" si="5"/>
        <v>30</v>
      </c>
      <c r="AA21" s="232"/>
      <c r="AB21" s="232"/>
      <c r="AC21" s="232"/>
      <c r="AD21" s="232"/>
      <c r="AE21" s="232"/>
      <c r="AF21" s="232"/>
      <c r="AG21" s="232"/>
      <c r="AH21" s="49">
        <f t="shared" si="7"/>
        <v>30</v>
      </c>
      <c r="AI21" s="6">
        <f t="shared" si="0"/>
        <v>0.9375</v>
      </c>
      <c r="AJ21" s="6">
        <f t="shared" si="1"/>
        <v>1</v>
      </c>
      <c r="AK21" s="6">
        <f t="shared" si="8"/>
        <v>1</v>
      </c>
      <c r="AL21" s="6">
        <f t="shared" si="9"/>
        <v>0.9375</v>
      </c>
      <c r="AM21" s="241"/>
    </row>
    <row r="22" spans="1:39" s="7" customFormat="1" x14ac:dyDescent="0.25">
      <c r="A22" s="44">
        <f t="shared" si="6"/>
        <v>46039</v>
      </c>
      <c r="B22" s="45">
        <f t="shared" si="2"/>
        <v>46039</v>
      </c>
      <c r="C22" s="46" t="s">
        <v>23</v>
      </c>
      <c r="D22" s="9" t="s">
        <v>24</v>
      </c>
      <c r="E22" s="228">
        <v>62</v>
      </c>
      <c r="F22" s="229">
        <v>62</v>
      </c>
      <c r="G22" s="230"/>
      <c r="H22" s="231">
        <v>660</v>
      </c>
      <c r="I22" s="11">
        <f t="shared" si="3"/>
        <v>30</v>
      </c>
      <c r="J22" s="48">
        <f t="shared" si="4"/>
        <v>630</v>
      </c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2"/>
      <c r="W22" s="232"/>
      <c r="X22" s="232"/>
      <c r="Y22" s="232"/>
      <c r="Z22" s="21">
        <f t="shared" si="5"/>
        <v>30</v>
      </c>
      <c r="AA22" s="232"/>
      <c r="AB22" s="232"/>
      <c r="AC22" s="232"/>
      <c r="AD22" s="232"/>
      <c r="AE22" s="232"/>
      <c r="AF22" s="232"/>
      <c r="AG22" s="232"/>
      <c r="AH22" s="49">
        <f t="shared" si="7"/>
        <v>30</v>
      </c>
      <c r="AI22" s="6">
        <f t="shared" si="0"/>
        <v>0.95454545454545459</v>
      </c>
      <c r="AJ22" s="6">
        <f t="shared" si="1"/>
        <v>1</v>
      </c>
      <c r="AK22" s="6">
        <f t="shared" si="8"/>
        <v>1</v>
      </c>
      <c r="AL22" s="6">
        <f t="shared" si="9"/>
        <v>0.95454545454545459</v>
      </c>
      <c r="AM22" s="241"/>
    </row>
    <row r="23" spans="1:39" s="7" customFormat="1" x14ac:dyDescent="0.25">
      <c r="A23" s="44">
        <f t="shared" si="6"/>
        <v>46040</v>
      </c>
      <c r="B23" s="45">
        <f t="shared" si="2"/>
        <v>46040</v>
      </c>
      <c r="C23" s="46" t="s">
        <v>23</v>
      </c>
      <c r="D23" s="9" t="s">
        <v>24</v>
      </c>
      <c r="E23" s="228">
        <v>62</v>
      </c>
      <c r="F23" s="229">
        <v>62</v>
      </c>
      <c r="G23" s="230"/>
      <c r="H23" s="231">
        <v>660</v>
      </c>
      <c r="I23" s="11">
        <f t="shared" si="3"/>
        <v>30</v>
      </c>
      <c r="J23" s="48">
        <f t="shared" si="4"/>
        <v>630</v>
      </c>
      <c r="K23" s="232"/>
      <c r="L23" s="232"/>
      <c r="M23" s="232"/>
      <c r="N23" s="232"/>
      <c r="O23" s="232"/>
      <c r="P23" s="232"/>
      <c r="Q23" s="232"/>
      <c r="R23" s="232"/>
      <c r="S23" s="232"/>
      <c r="T23" s="232"/>
      <c r="U23" s="232"/>
      <c r="V23" s="232"/>
      <c r="W23" s="232"/>
      <c r="X23" s="232"/>
      <c r="Y23" s="232"/>
      <c r="Z23" s="21">
        <f t="shared" si="5"/>
        <v>30</v>
      </c>
      <c r="AA23" s="232"/>
      <c r="AB23" s="232"/>
      <c r="AC23" s="232"/>
      <c r="AD23" s="232"/>
      <c r="AE23" s="232"/>
      <c r="AF23" s="232"/>
      <c r="AG23" s="232"/>
      <c r="AH23" s="49">
        <f t="shared" si="7"/>
        <v>30</v>
      </c>
      <c r="AI23" s="6">
        <f t="shared" si="0"/>
        <v>0.95454545454545459</v>
      </c>
      <c r="AJ23" s="6">
        <f t="shared" si="1"/>
        <v>1</v>
      </c>
      <c r="AK23" s="6">
        <f t="shared" si="8"/>
        <v>1</v>
      </c>
      <c r="AL23" s="6">
        <f t="shared" si="9"/>
        <v>0.95454545454545459</v>
      </c>
      <c r="AM23" s="241"/>
    </row>
    <row r="24" spans="1:39" s="7" customFormat="1" x14ac:dyDescent="0.25">
      <c r="A24" s="44">
        <f t="shared" si="6"/>
        <v>46041</v>
      </c>
      <c r="B24" s="45">
        <f t="shared" si="2"/>
        <v>46041</v>
      </c>
      <c r="C24" s="46" t="s">
        <v>23</v>
      </c>
      <c r="D24" s="9" t="s">
        <v>24</v>
      </c>
      <c r="E24" s="228">
        <v>62</v>
      </c>
      <c r="F24" s="229">
        <v>62</v>
      </c>
      <c r="G24" s="230"/>
      <c r="H24" s="231">
        <v>660</v>
      </c>
      <c r="I24" s="11">
        <f t="shared" si="3"/>
        <v>30</v>
      </c>
      <c r="J24" s="48">
        <f t="shared" si="4"/>
        <v>630</v>
      </c>
      <c r="K24" s="232"/>
      <c r="L24" s="232"/>
      <c r="M24" s="232"/>
      <c r="N24" s="232"/>
      <c r="O24" s="232"/>
      <c r="P24" s="232"/>
      <c r="Q24" s="232"/>
      <c r="R24" s="232"/>
      <c r="S24" s="232"/>
      <c r="T24" s="232"/>
      <c r="U24" s="232"/>
      <c r="V24" s="232"/>
      <c r="W24" s="232"/>
      <c r="X24" s="232"/>
      <c r="Y24" s="232"/>
      <c r="Z24" s="21">
        <f t="shared" si="5"/>
        <v>30</v>
      </c>
      <c r="AA24" s="232"/>
      <c r="AB24" s="232"/>
      <c r="AC24" s="232"/>
      <c r="AD24" s="232"/>
      <c r="AE24" s="232"/>
      <c r="AF24" s="232"/>
      <c r="AG24" s="232"/>
      <c r="AH24" s="49">
        <f t="shared" si="7"/>
        <v>30</v>
      </c>
      <c r="AI24" s="6">
        <f t="shared" si="0"/>
        <v>0.95454545454545459</v>
      </c>
      <c r="AJ24" s="6">
        <f t="shared" si="1"/>
        <v>1</v>
      </c>
      <c r="AK24" s="6">
        <f t="shared" si="8"/>
        <v>1</v>
      </c>
      <c r="AL24" s="6">
        <f t="shared" si="9"/>
        <v>0.95454545454545459</v>
      </c>
      <c r="AM24" s="241"/>
    </row>
    <row r="25" spans="1:39" s="7" customFormat="1" x14ac:dyDescent="0.25">
      <c r="A25" s="44">
        <f t="shared" si="6"/>
        <v>46042</v>
      </c>
      <c r="B25" s="45">
        <f t="shared" si="2"/>
        <v>46042</v>
      </c>
      <c r="C25" s="46" t="s">
        <v>23</v>
      </c>
      <c r="D25" s="9" t="s">
        <v>24</v>
      </c>
      <c r="E25" s="228">
        <v>62</v>
      </c>
      <c r="F25" s="229">
        <v>62</v>
      </c>
      <c r="G25" s="230"/>
      <c r="H25" s="231">
        <v>660</v>
      </c>
      <c r="I25" s="11">
        <f t="shared" si="3"/>
        <v>30</v>
      </c>
      <c r="J25" s="48">
        <f t="shared" si="4"/>
        <v>630</v>
      </c>
      <c r="K25" s="232"/>
      <c r="L25" s="232"/>
      <c r="M25" s="232"/>
      <c r="N25" s="232"/>
      <c r="O25" s="232"/>
      <c r="P25" s="232"/>
      <c r="Q25" s="232"/>
      <c r="R25" s="232"/>
      <c r="S25" s="232"/>
      <c r="T25" s="232"/>
      <c r="U25" s="232"/>
      <c r="V25" s="232"/>
      <c r="W25" s="232"/>
      <c r="X25" s="232"/>
      <c r="Y25" s="232"/>
      <c r="Z25" s="21">
        <f t="shared" si="5"/>
        <v>30</v>
      </c>
      <c r="AA25" s="232"/>
      <c r="AB25" s="232"/>
      <c r="AC25" s="232"/>
      <c r="AD25" s="232"/>
      <c r="AE25" s="232"/>
      <c r="AF25" s="232"/>
      <c r="AG25" s="232"/>
      <c r="AH25" s="49">
        <f t="shared" si="7"/>
        <v>30</v>
      </c>
      <c r="AI25" s="6">
        <f t="shared" si="0"/>
        <v>0.95454545454545459</v>
      </c>
      <c r="AJ25" s="6">
        <f t="shared" si="1"/>
        <v>1</v>
      </c>
      <c r="AK25" s="6">
        <f t="shared" si="8"/>
        <v>1</v>
      </c>
      <c r="AL25" s="6">
        <f t="shared" si="9"/>
        <v>0.95454545454545459</v>
      </c>
      <c r="AM25" s="241"/>
    </row>
    <row r="26" spans="1:39" s="7" customFormat="1" x14ac:dyDescent="0.25">
      <c r="A26" s="44">
        <f t="shared" si="6"/>
        <v>46043</v>
      </c>
      <c r="B26" s="45">
        <f t="shared" si="2"/>
        <v>46043</v>
      </c>
      <c r="C26" s="46" t="s">
        <v>23</v>
      </c>
      <c r="D26" s="9" t="s">
        <v>24</v>
      </c>
      <c r="E26" s="228">
        <v>62</v>
      </c>
      <c r="F26" s="229">
        <v>62</v>
      </c>
      <c r="G26" s="230"/>
      <c r="H26" s="231">
        <v>660</v>
      </c>
      <c r="I26" s="11">
        <f t="shared" si="3"/>
        <v>30</v>
      </c>
      <c r="J26" s="48">
        <f t="shared" si="4"/>
        <v>630</v>
      </c>
      <c r="K26" s="232"/>
      <c r="L26" s="232"/>
      <c r="M26" s="232"/>
      <c r="N26" s="232"/>
      <c r="O26" s="232"/>
      <c r="P26" s="232"/>
      <c r="Q26" s="232"/>
      <c r="R26" s="232"/>
      <c r="S26" s="232"/>
      <c r="T26" s="232"/>
      <c r="U26" s="232"/>
      <c r="V26" s="232"/>
      <c r="W26" s="232"/>
      <c r="X26" s="232"/>
      <c r="Y26" s="232"/>
      <c r="Z26" s="21">
        <f t="shared" si="5"/>
        <v>30</v>
      </c>
      <c r="AA26" s="232"/>
      <c r="AB26" s="232"/>
      <c r="AC26" s="232"/>
      <c r="AD26" s="232"/>
      <c r="AE26" s="232"/>
      <c r="AF26" s="232"/>
      <c r="AG26" s="232"/>
      <c r="AH26" s="49">
        <f t="shared" si="7"/>
        <v>30</v>
      </c>
      <c r="AI26" s="6">
        <f t="shared" si="0"/>
        <v>0.95454545454545459</v>
      </c>
      <c r="AJ26" s="6">
        <f t="shared" si="1"/>
        <v>1</v>
      </c>
      <c r="AK26" s="6">
        <f t="shared" si="8"/>
        <v>1</v>
      </c>
      <c r="AL26" s="6">
        <f t="shared" si="9"/>
        <v>0.95454545454545459</v>
      </c>
      <c r="AM26" s="241"/>
    </row>
    <row r="27" spans="1:39" s="7" customFormat="1" x14ac:dyDescent="0.25">
      <c r="A27" s="44">
        <f t="shared" si="6"/>
        <v>46044</v>
      </c>
      <c r="B27" s="45">
        <f t="shared" si="2"/>
        <v>46044</v>
      </c>
      <c r="C27" s="46" t="s">
        <v>23</v>
      </c>
      <c r="D27" s="9" t="s">
        <v>24</v>
      </c>
      <c r="E27" s="228">
        <v>62</v>
      </c>
      <c r="F27" s="229">
        <v>62</v>
      </c>
      <c r="G27" s="230"/>
      <c r="H27" s="231">
        <v>480</v>
      </c>
      <c r="I27" s="11">
        <f t="shared" si="3"/>
        <v>30</v>
      </c>
      <c r="J27" s="48">
        <f t="shared" si="4"/>
        <v>450</v>
      </c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Y27" s="232"/>
      <c r="Z27" s="21">
        <f t="shared" si="5"/>
        <v>30</v>
      </c>
      <c r="AA27" s="232"/>
      <c r="AB27" s="232"/>
      <c r="AC27" s="232"/>
      <c r="AD27" s="232"/>
      <c r="AE27" s="232"/>
      <c r="AF27" s="232"/>
      <c r="AG27" s="232"/>
      <c r="AH27" s="49">
        <f t="shared" si="7"/>
        <v>30</v>
      </c>
      <c r="AI27" s="6">
        <f t="shared" si="0"/>
        <v>0.9375</v>
      </c>
      <c r="AJ27" s="6">
        <f t="shared" si="1"/>
        <v>1</v>
      </c>
      <c r="AK27" s="6">
        <f t="shared" si="8"/>
        <v>1</v>
      </c>
      <c r="AL27" s="6">
        <f t="shared" si="9"/>
        <v>0.9375</v>
      </c>
      <c r="AM27" s="241"/>
    </row>
    <row r="28" spans="1:39" s="7" customFormat="1" x14ac:dyDescent="0.25">
      <c r="A28" s="44">
        <f t="shared" si="6"/>
        <v>46045</v>
      </c>
      <c r="B28" s="45">
        <f t="shared" si="2"/>
        <v>46045</v>
      </c>
      <c r="C28" s="46" t="s">
        <v>23</v>
      </c>
      <c r="D28" s="9" t="s">
        <v>24</v>
      </c>
      <c r="E28" s="228"/>
      <c r="F28" s="229"/>
      <c r="G28" s="230"/>
      <c r="H28" s="231"/>
      <c r="I28" s="11">
        <f t="shared" si="3"/>
        <v>0</v>
      </c>
      <c r="J28" s="48">
        <f t="shared" si="4"/>
        <v>0</v>
      </c>
      <c r="K28" s="232"/>
      <c r="L28" s="232"/>
      <c r="M28" s="232"/>
      <c r="N28" s="232"/>
      <c r="O28" s="232"/>
      <c r="P28" s="232"/>
      <c r="Q28" s="232"/>
      <c r="R28" s="232"/>
      <c r="S28" s="232"/>
      <c r="T28" s="232"/>
      <c r="U28" s="232"/>
      <c r="V28" s="232"/>
      <c r="W28" s="232"/>
      <c r="X28" s="232"/>
      <c r="Y28" s="232"/>
      <c r="Z28" s="21">
        <f t="shared" si="5"/>
        <v>0</v>
      </c>
      <c r="AA28" s="232"/>
      <c r="AB28" s="232"/>
      <c r="AC28" s="232"/>
      <c r="AD28" s="232"/>
      <c r="AE28" s="232"/>
      <c r="AF28" s="232"/>
      <c r="AG28" s="232"/>
      <c r="AH28" s="49">
        <f t="shared" si="7"/>
        <v>0</v>
      </c>
      <c r="AI28" s="6" t="str">
        <f t="shared" si="0"/>
        <v>0</v>
      </c>
      <c r="AJ28" s="6" t="str">
        <f t="shared" si="1"/>
        <v>0</v>
      </c>
      <c r="AK28" s="6" t="str">
        <f t="shared" si="8"/>
        <v>0</v>
      </c>
      <c r="AL28" s="6">
        <f t="shared" si="9"/>
        <v>0</v>
      </c>
      <c r="AM28" s="241"/>
    </row>
    <row r="29" spans="1:39" s="7" customFormat="1" x14ac:dyDescent="0.25">
      <c r="A29" s="44">
        <f t="shared" si="6"/>
        <v>46046</v>
      </c>
      <c r="B29" s="45">
        <f t="shared" si="2"/>
        <v>46046</v>
      </c>
      <c r="C29" s="46" t="s">
        <v>23</v>
      </c>
      <c r="D29" s="9" t="s">
        <v>24</v>
      </c>
      <c r="E29" s="228">
        <v>62</v>
      </c>
      <c r="F29" s="229">
        <v>62</v>
      </c>
      <c r="G29" s="230"/>
      <c r="H29" s="231">
        <v>660</v>
      </c>
      <c r="I29" s="11">
        <f t="shared" si="3"/>
        <v>30</v>
      </c>
      <c r="J29" s="48">
        <f t="shared" si="4"/>
        <v>630</v>
      </c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X29" s="232"/>
      <c r="Y29" s="232"/>
      <c r="Z29" s="21">
        <f t="shared" si="5"/>
        <v>30</v>
      </c>
      <c r="AA29" s="232"/>
      <c r="AB29" s="232"/>
      <c r="AC29" s="232"/>
      <c r="AD29" s="232"/>
      <c r="AE29" s="232"/>
      <c r="AF29" s="232"/>
      <c r="AG29" s="232"/>
      <c r="AH29" s="49">
        <f t="shared" si="7"/>
        <v>30</v>
      </c>
      <c r="AI29" s="6">
        <f t="shared" si="0"/>
        <v>0.95454545454545459</v>
      </c>
      <c r="AJ29" s="6">
        <f t="shared" si="1"/>
        <v>1</v>
      </c>
      <c r="AK29" s="6">
        <f t="shared" si="8"/>
        <v>1</v>
      </c>
      <c r="AL29" s="6">
        <f t="shared" si="9"/>
        <v>0.95454545454545459</v>
      </c>
      <c r="AM29" s="241"/>
    </row>
    <row r="30" spans="1:39" s="7" customFormat="1" x14ac:dyDescent="0.25">
      <c r="A30" s="44">
        <f t="shared" si="6"/>
        <v>46047</v>
      </c>
      <c r="B30" s="45">
        <f t="shared" si="2"/>
        <v>46047</v>
      </c>
      <c r="C30" s="46" t="s">
        <v>23</v>
      </c>
      <c r="D30" s="9" t="s">
        <v>24</v>
      </c>
      <c r="E30" s="228">
        <v>62</v>
      </c>
      <c r="F30" s="229">
        <v>62</v>
      </c>
      <c r="G30" s="230"/>
      <c r="H30" s="231">
        <v>660</v>
      </c>
      <c r="I30" s="11">
        <f t="shared" si="3"/>
        <v>30</v>
      </c>
      <c r="J30" s="48">
        <f t="shared" si="4"/>
        <v>630</v>
      </c>
      <c r="K30" s="232"/>
      <c r="L30" s="232"/>
      <c r="M30" s="232"/>
      <c r="N30" s="232"/>
      <c r="O30" s="232"/>
      <c r="P30" s="232"/>
      <c r="Q30" s="232"/>
      <c r="R30" s="232"/>
      <c r="S30" s="232"/>
      <c r="T30" s="232"/>
      <c r="U30" s="232"/>
      <c r="V30" s="232"/>
      <c r="W30" s="232"/>
      <c r="X30" s="232"/>
      <c r="Y30" s="232"/>
      <c r="Z30" s="21">
        <f t="shared" si="5"/>
        <v>30</v>
      </c>
      <c r="AA30" s="232"/>
      <c r="AB30" s="232"/>
      <c r="AC30" s="232"/>
      <c r="AD30" s="232"/>
      <c r="AE30" s="232"/>
      <c r="AF30" s="232"/>
      <c r="AG30" s="232"/>
      <c r="AH30" s="49">
        <f t="shared" si="7"/>
        <v>30</v>
      </c>
      <c r="AI30" s="6">
        <f t="shared" si="0"/>
        <v>0.95454545454545459</v>
      </c>
      <c r="AJ30" s="6">
        <f t="shared" si="1"/>
        <v>1</v>
      </c>
      <c r="AK30" s="6">
        <f t="shared" si="8"/>
        <v>1</v>
      </c>
      <c r="AL30" s="6">
        <f t="shared" si="9"/>
        <v>0.95454545454545459</v>
      </c>
      <c r="AM30" s="241"/>
    </row>
    <row r="31" spans="1:39" s="7" customFormat="1" x14ac:dyDescent="0.25">
      <c r="A31" s="44">
        <f t="shared" si="6"/>
        <v>46048</v>
      </c>
      <c r="B31" s="45">
        <f t="shared" si="2"/>
        <v>46048</v>
      </c>
      <c r="C31" s="46" t="s">
        <v>23</v>
      </c>
      <c r="D31" s="9" t="s">
        <v>24</v>
      </c>
      <c r="E31" s="228">
        <v>74</v>
      </c>
      <c r="F31" s="229">
        <v>74</v>
      </c>
      <c r="G31" s="230"/>
      <c r="H31" s="231">
        <v>660</v>
      </c>
      <c r="I31" s="11">
        <f t="shared" si="3"/>
        <v>30</v>
      </c>
      <c r="J31" s="48">
        <f t="shared" si="4"/>
        <v>630</v>
      </c>
      <c r="K31" s="232"/>
      <c r="L31" s="232"/>
      <c r="M31" s="232"/>
      <c r="N31" s="232"/>
      <c r="O31" s="232"/>
      <c r="P31" s="232"/>
      <c r="Q31" s="232"/>
      <c r="R31" s="232"/>
      <c r="S31" s="232"/>
      <c r="T31" s="232"/>
      <c r="U31" s="232"/>
      <c r="V31" s="232"/>
      <c r="W31" s="232"/>
      <c r="X31" s="232"/>
      <c r="Y31" s="232"/>
      <c r="Z31" s="21">
        <f t="shared" si="5"/>
        <v>30</v>
      </c>
      <c r="AA31" s="232"/>
      <c r="AB31" s="232"/>
      <c r="AC31" s="232"/>
      <c r="AD31" s="232"/>
      <c r="AE31" s="232"/>
      <c r="AF31" s="232"/>
      <c r="AG31" s="232"/>
      <c r="AH31" s="49">
        <f t="shared" si="7"/>
        <v>30</v>
      </c>
      <c r="AI31" s="6">
        <f t="shared" si="0"/>
        <v>0.95454545454545459</v>
      </c>
      <c r="AJ31" s="6">
        <f t="shared" si="1"/>
        <v>1</v>
      </c>
      <c r="AK31" s="6">
        <f t="shared" si="8"/>
        <v>1</v>
      </c>
      <c r="AL31" s="6">
        <f t="shared" si="9"/>
        <v>0.95454545454545459</v>
      </c>
      <c r="AM31" s="241"/>
    </row>
    <row r="32" spans="1:39" s="7" customFormat="1" x14ac:dyDescent="0.25">
      <c r="A32" s="44">
        <f t="shared" si="6"/>
        <v>46049</v>
      </c>
      <c r="B32" s="45">
        <f t="shared" si="2"/>
        <v>46049</v>
      </c>
      <c r="C32" s="46" t="s">
        <v>23</v>
      </c>
      <c r="D32" s="9" t="s">
        <v>24</v>
      </c>
      <c r="E32" s="228"/>
      <c r="F32" s="229"/>
      <c r="G32" s="230"/>
      <c r="H32" s="231"/>
      <c r="I32" s="11">
        <f t="shared" si="3"/>
        <v>0</v>
      </c>
      <c r="J32" s="48">
        <f t="shared" si="4"/>
        <v>0</v>
      </c>
      <c r="K32" s="232"/>
      <c r="L32" s="232"/>
      <c r="M32" s="232"/>
      <c r="N32" s="232"/>
      <c r="O32" s="232"/>
      <c r="P32" s="232"/>
      <c r="Q32" s="232"/>
      <c r="R32" s="232"/>
      <c r="S32" s="232"/>
      <c r="T32" s="232"/>
      <c r="U32" s="232"/>
      <c r="V32" s="232"/>
      <c r="W32" s="232"/>
      <c r="X32" s="232"/>
      <c r="Y32" s="232"/>
      <c r="Z32" s="21">
        <f t="shared" si="5"/>
        <v>0</v>
      </c>
      <c r="AA32" s="232"/>
      <c r="AB32" s="232"/>
      <c r="AC32" s="232"/>
      <c r="AD32" s="232"/>
      <c r="AE32" s="232"/>
      <c r="AF32" s="232"/>
      <c r="AG32" s="232"/>
      <c r="AH32" s="49">
        <f t="shared" si="7"/>
        <v>0</v>
      </c>
      <c r="AI32" s="6" t="str">
        <f t="shared" si="0"/>
        <v>0</v>
      </c>
      <c r="AJ32" s="6" t="str">
        <f t="shared" si="1"/>
        <v>0</v>
      </c>
      <c r="AK32" s="6" t="str">
        <f t="shared" si="8"/>
        <v>0</v>
      </c>
      <c r="AL32" s="6">
        <f t="shared" si="9"/>
        <v>0</v>
      </c>
      <c r="AM32" s="241"/>
    </row>
    <row r="33" spans="1:39" s="7" customFormat="1" x14ac:dyDescent="0.25">
      <c r="A33" s="44">
        <f t="shared" si="6"/>
        <v>46050</v>
      </c>
      <c r="B33" s="45">
        <f t="shared" si="2"/>
        <v>46050</v>
      </c>
      <c r="C33" s="46" t="s">
        <v>23</v>
      </c>
      <c r="D33" s="9" t="s">
        <v>24</v>
      </c>
      <c r="E33" s="228"/>
      <c r="F33" s="229"/>
      <c r="G33" s="230"/>
      <c r="H33" s="231"/>
      <c r="I33" s="11">
        <f t="shared" si="3"/>
        <v>0</v>
      </c>
      <c r="J33" s="48">
        <f t="shared" si="4"/>
        <v>0</v>
      </c>
      <c r="K33" s="232"/>
      <c r="L33" s="232"/>
      <c r="M33" s="232"/>
      <c r="N33" s="232"/>
      <c r="O33" s="232"/>
      <c r="P33" s="232"/>
      <c r="Q33" s="232"/>
      <c r="R33" s="232"/>
      <c r="S33" s="232"/>
      <c r="T33" s="232"/>
      <c r="U33" s="232"/>
      <c r="V33" s="232"/>
      <c r="W33" s="232"/>
      <c r="X33" s="232"/>
      <c r="Y33" s="232"/>
      <c r="Z33" s="21">
        <f t="shared" si="5"/>
        <v>0</v>
      </c>
      <c r="AA33" s="232"/>
      <c r="AB33" s="232"/>
      <c r="AC33" s="232"/>
      <c r="AD33" s="232"/>
      <c r="AE33" s="232"/>
      <c r="AF33" s="232"/>
      <c r="AG33" s="232"/>
      <c r="AH33" s="49">
        <f t="shared" si="7"/>
        <v>0</v>
      </c>
      <c r="AI33" s="6" t="str">
        <f t="shared" si="0"/>
        <v>0</v>
      </c>
      <c r="AJ33" s="6" t="str">
        <f t="shared" si="1"/>
        <v>0</v>
      </c>
      <c r="AK33" s="6" t="str">
        <f t="shared" si="8"/>
        <v>0</v>
      </c>
      <c r="AL33" s="6">
        <f t="shared" si="9"/>
        <v>0</v>
      </c>
      <c r="AM33" s="241"/>
    </row>
    <row r="34" spans="1:39" s="7" customFormat="1" x14ac:dyDescent="0.25">
      <c r="A34" s="44">
        <f t="shared" si="6"/>
        <v>46051</v>
      </c>
      <c r="B34" s="45">
        <f t="shared" si="2"/>
        <v>46051</v>
      </c>
      <c r="C34" s="46" t="s">
        <v>23</v>
      </c>
      <c r="D34" s="9" t="s">
        <v>24</v>
      </c>
      <c r="E34" s="228"/>
      <c r="F34" s="229"/>
      <c r="G34" s="230"/>
      <c r="H34" s="231"/>
      <c r="I34" s="11">
        <f t="shared" si="3"/>
        <v>0</v>
      </c>
      <c r="J34" s="48">
        <f t="shared" si="4"/>
        <v>0</v>
      </c>
      <c r="K34" s="232"/>
      <c r="L34" s="232"/>
      <c r="M34" s="232"/>
      <c r="N34" s="232"/>
      <c r="O34" s="232"/>
      <c r="P34" s="232"/>
      <c r="Q34" s="232"/>
      <c r="R34" s="232"/>
      <c r="S34" s="232"/>
      <c r="T34" s="232"/>
      <c r="U34" s="232"/>
      <c r="V34" s="232"/>
      <c r="W34" s="232"/>
      <c r="X34" s="232"/>
      <c r="Y34" s="232"/>
      <c r="Z34" s="21">
        <f t="shared" si="5"/>
        <v>0</v>
      </c>
      <c r="AA34" s="232"/>
      <c r="AB34" s="232"/>
      <c r="AC34" s="232"/>
      <c r="AD34" s="232"/>
      <c r="AE34" s="232"/>
      <c r="AF34" s="232"/>
      <c r="AG34" s="232"/>
      <c r="AH34" s="49">
        <f t="shared" si="7"/>
        <v>0</v>
      </c>
      <c r="AI34" s="6" t="str">
        <f t="shared" si="0"/>
        <v>0</v>
      </c>
      <c r="AJ34" s="6" t="str">
        <f t="shared" si="1"/>
        <v>0</v>
      </c>
      <c r="AK34" s="6" t="str">
        <f t="shared" si="8"/>
        <v>0</v>
      </c>
      <c r="AL34" s="6">
        <f t="shared" si="9"/>
        <v>0</v>
      </c>
      <c r="AM34" s="241"/>
    </row>
    <row r="35" spans="1:39" s="7" customFormat="1" x14ac:dyDescent="0.25">
      <c r="A35" s="44">
        <f t="shared" si="6"/>
        <v>46052</v>
      </c>
      <c r="B35" s="45">
        <f t="shared" si="2"/>
        <v>46052</v>
      </c>
      <c r="C35" s="46" t="s">
        <v>23</v>
      </c>
      <c r="D35" s="9" t="s">
        <v>24</v>
      </c>
      <c r="E35" s="228"/>
      <c r="F35" s="229"/>
      <c r="G35" s="230"/>
      <c r="H35" s="231"/>
      <c r="I35" s="11">
        <f t="shared" si="3"/>
        <v>0</v>
      </c>
      <c r="J35" s="48">
        <f t="shared" si="4"/>
        <v>0</v>
      </c>
      <c r="K35" s="232"/>
      <c r="L35" s="232"/>
      <c r="M35" s="232"/>
      <c r="N35" s="232"/>
      <c r="O35" s="232"/>
      <c r="P35" s="232"/>
      <c r="Q35" s="232"/>
      <c r="R35" s="232"/>
      <c r="S35" s="232"/>
      <c r="T35" s="232"/>
      <c r="U35" s="232"/>
      <c r="V35" s="232"/>
      <c r="W35" s="232"/>
      <c r="X35" s="232"/>
      <c r="Y35" s="232"/>
      <c r="Z35" s="21">
        <f t="shared" si="5"/>
        <v>0</v>
      </c>
      <c r="AA35" s="232"/>
      <c r="AB35" s="232"/>
      <c r="AC35" s="232"/>
      <c r="AD35" s="232"/>
      <c r="AE35" s="232"/>
      <c r="AF35" s="232"/>
      <c r="AG35" s="232"/>
      <c r="AH35" s="49">
        <f t="shared" si="7"/>
        <v>0</v>
      </c>
      <c r="AI35" s="6" t="str">
        <f t="shared" si="0"/>
        <v>0</v>
      </c>
      <c r="AJ35" s="6" t="str">
        <f t="shared" si="1"/>
        <v>0</v>
      </c>
      <c r="AK35" s="6" t="str">
        <f t="shared" si="8"/>
        <v>0</v>
      </c>
      <c r="AL35" s="6">
        <f t="shared" si="9"/>
        <v>0</v>
      </c>
      <c r="AM35" s="241"/>
    </row>
    <row r="36" spans="1:39" s="7" customFormat="1" x14ac:dyDescent="0.25">
      <c r="A36" s="44">
        <f t="shared" si="6"/>
        <v>46053</v>
      </c>
      <c r="B36" s="45">
        <f t="shared" si="2"/>
        <v>46053</v>
      </c>
      <c r="C36" s="46" t="s">
        <v>23</v>
      </c>
      <c r="D36" s="9" t="s">
        <v>24</v>
      </c>
      <c r="E36" s="228"/>
      <c r="F36" s="229"/>
      <c r="G36" s="230"/>
      <c r="H36" s="231"/>
      <c r="I36" s="11">
        <f t="shared" si="3"/>
        <v>0</v>
      </c>
      <c r="J36" s="48">
        <f t="shared" si="4"/>
        <v>0</v>
      </c>
      <c r="K36" s="232"/>
      <c r="L36" s="232"/>
      <c r="M36" s="232"/>
      <c r="N36" s="232"/>
      <c r="O36" s="232"/>
      <c r="P36" s="232"/>
      <c r="Q36" s="232"/>
      <c r="R36" s="232"/>
      <c r="S36" s="232"/>
      <c r="T36" s="232"/>
      <c r="U36" s="232"/>
      <c r="V36" s="232"/>
      <c r="W36" s="232"/>
      <c r="X36" s="232"/>
      <c r="Y36" s="232"/>
      <c r="Z36" s="21">
        <f t="shared" si="5"/>
        <v>0</v>
      </c>
      <c r="AA36" s="232"/>
      <c r="AB36" s="232"/>
      <c r="AC36" s="232"/>
      <c r="AD36" s="232"/>
      <c r="AE36" s="232"/>
      <c r="AF36" s="232"/>
      <c r="AG36" s="232"/>
      <c r="AH36" s="49">
        <f t="shared" si="7"/>
        <v>0</v>
      </c>
      <c r="AI36" s="6" t="str">
        <f t="shared" si="0"/>
        <v>0</v>
      </c>
      <c r="AJ36" s="6" t="str">
        <f t="shared" si="1"/>
        <v>0</v>
      </c>
      <c r="AK36" s="6" t="str">
        <f t="shared" si="8"/>
        <v>0</v>
      </c>
      <c r="AL36" s="6">
        <f t="shared" si="9"/>
        <v>0</v>
      </c>
      <c r="AM36" s="241"/>
    </row>
    <row r="37" spans="1:39" s="12" customFormat="1" ht="14.25" x14ac:dyDescent="0.25">
      <c r="A37" s="313" t="s">
        <v>34</v>
      </c>
      <c r="B37" s="314"/>
      <c r="C37" s="314"/>
      <c r="D37" s="315"/>
      <c r="E37" s="23">
        <f>SUM(E6:E36)</f>
        <v>1500</v>
      </c>
      <c r="F37" s="23">
        <f>SUM(F6:F36)</f>
        <v>1500</v>
      </c>
      <c r="G37" s="23">
        <f>SUM(G6:G36)</f>
        <v>0</v>
      </c>
      <c r="H37" s="23">
        <f>SUM(H6:H36)</f>
        <v>15120</v>
      </c>
      <c r="I37" s="23">
        <f>SUM(I7:I36)</f>
        <v>690</v>
      </c>
      <c r="J37" s="280">
        <f t="shared" ref="J37:AG37" si="10">SUM(J6:J36)</f>
        <v>14400</v>
      </c>
      <c r="K37" s="23">
        <f t="shared" si="10"/>
        <v>0</v>
      </c>
      <c r="L37" s="23">
        <f t="shared" si="10"/>
        <v>0</v>
      </c>
      <c r="M37" s="23">
        <f t="shared" si="10"/>
        <v>0</v>
      </c>
      <c r="N37" s="23">
        <f t="shared" si="10"/>
        <v>0</v>
      </c>
      <c r="O37" s="23">
        <f t="shared" si="10"/>
        <v>0</v>
      </c>
      <c r="P37" s="23">
        <f t="shared" si="10"/>
        <v>0</v>
      </c>
      <c r="Q37" s="23">
        <f t="shared" si="10"/>
        <v>0</v>
      </c>
      <c r="R37" s="23">
        <f t="shared" si="10"/>
        <v>0</v>
      </c>
      <c r="S37" s="23">
        <f t="shared" si="10"/>
        <v>0</v>
      </c>
      <c r="T37" s="23">
        <f t="shared" si="10"/>
        <v>0</v>
      </c>
      <c r="U37" s="23">
        <f t="shared" si="10"/>
        <v>0</v>
      </c>
      <c r="V37" s="23">
        <f t="shared" si="10"/>
        <v>0</v>
      </c>
      <c r="W37" s="23">
        <f t="shared" si="10"/>
        <v>0</v>
      </c>
      <c r="X37" s="23">
        <f t="shared" si="10"/>
        <v>0</v>
      </c>
      <c r="Y37" s="23">
        <f t="shared" si="10"/>
        <v>0</v>
      </c>
      <c r="Z37" s="23">
        <f t="shared" si="10"/>
        <v>720</v>
      </c>
      <c r="AA37" s="23">
        <f t="shared" si="10"/>
        <v>0</v>
      </c>
      <c r="AB37" s="23">
        <f t="shared" si="10"/>
        <v>0</v>
      </c>
      <c r="AC37" s="23">
        <f t="shared" si="10"/>
        <v>0</v>
      </c>
      <c r="AD37" s="23">
        <f t="shared" si="10"/>
        <v>0</v>
      </c>
      <c r="AE37" s="23">
        <f t="shared" si="10"/>
        <v>0</v>
      </c>
      <c r="AF37" s="23">
        <f t="shared" si="10"/>
        <v>0</v>
      </c>
      <c r="AG37" s="23">
        <f t="shared" si="10"/>
        <v>0</v>
      </c>
      <c r="AH37" s="289">
        <f>SUM(AH6:AH36)</f>
        <v>720</v>
      </c>
      <c r="AI37" s="80">
        <f>IFERROR(J37/H37,0)</f>
        <v>0.95238095238095233</v>
      </c>
      <c r="AJ37" s="80">
        <f>IFERROR(F37/E37,0)</f>
        <v>1</v>
      </c>
      <c r="AK37" s="80">
        <f>IFERROR(F37/(F37+G37),0)</f>
        <v>1</v>
      </c>
      <c r="AL37" s="80">
        <f>IFERROR(AK37*AJ37*AI37,0)</f>
        <v>0.95238095238095233</v>
      </c>
      <c r="AM37" s="81"/>
    </row>
    <row r="41" spans="1:39" x14ac:dyDescent="0.25">
      <c r="AI41" s="15"/>
      <c r="AJ41" s="15"/>
      <c r="AK41" s="15"/>
    </row>
  </sheetData>
  <mergeCells count="5">
    <mergeCell ref="A1:AM1"/>
    <mergeCell ref="A2:AM2"/>
    <mergeCell ref="A37:D37"/>
    <mergeCell ref="A4:J4"/>
    <mergeCell ref="AH4:AM4"/>
  </mergeCells>
  <conditionalFormatting sqref="J6:AM8 A9:AM36 A6:H6 A7:I8">
    <cfRule type="expression" dxfId="22" priority="2">
      <formula>TEXT($A6,"ddd")="Fri"</formula>
    </cfRule>
  </conditionalFormatting>
  <conditionalFormatting sqref="K6:AG36">
    <cfRule type="cellIs" dxfId="21" priority="1" operator="greaterThan">
      <formula>0</formula>
    </cfRule>
  </conditionalFormatting>
  <pageMargins left="0.1" right="0.25" top="0.53" bottom="0.03" header="0" footer="0"/>
  <pageSetup paperSize="9" scale="5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01AE1-8FC2-427E-9E90-8238BC91E141}">
  <sheetPr>
    <tabColor rgb="FF002060"/>
  </sheetPr>
  <dimension ref="A1:AM41"/>
  <sheetViews>
    <sheetView showGridLines="0" zoomScale="90" zoomScaleNormal="90" workbookViewId="0">
      <pane xSplit="3" ySplit="5" topLeftCell="D32" activePane="bottomRight" state="frozen"/>
      <selection pane="topRight" activeCell="D1" sqref="D1"/>
      <selection pane="bottomLeft" activeCell="A5" sqref="A5"/>
      <selection pane="bottomRight" activeCell="T36" sqref="T36"/>
    </sheetView>
  </sheetViews>
  <sheetFormatPr defaultColWidth="9.140625" defaultRowHeight="12.75" outlineLevelCol="1" x14ac:dyDescent="0.25"/>
  <cols>
    <col min="1" max="1" width="9.140625" style="1" bestFit="1" customWidth="1"/>
    <col min="2" max="2" width="4.85546875" style="1" bestFit="1" customWidth="1"/>
    <col min="3" max="3" width="7.85546875" style="13" bestFit="1" customWidth="1"/>
    <col min="4" max="4" width="15" style="1" bestFit="1" customWidth="1"/>
    <col min="5" max="5" width="6" style="1" bestFit="1" customWidth="1"/>
    <col min="6" max="6" width="6.28515625" style="1" customWidth="1"/>
    <col min="7" max="7" width="4" style="1" bestFit="1" customWidth="1"/>
    <col min="8" max="8" width="6" style="1" bestFit="1" customWidth="1"/>
    <col min="9" max="9" width="4.42578125" style="1" bestFit="1" customWidth="1"/>
    <col min="10" max="10" width="5.85546875" style="1" customWidth="1"/>
    <col min="11" max="19" width="3.28515625" style="1" customWidth="1" outlineLevel="1"/>
    <col min="20" max="20" width="5" style="1" customWidth="1" outlineLevel="1"/>
    <col min="21" max="33" width="3.28515625" style="1" customWidth="1" outlineLevel="1"/>
    <col min="34" max="34" width="5" style="14" bestFit="1" customWidth="1"/>
    <col min="35" max="37" width="6.140625" style="1" bestFit="1" customWidth="1"/>
    <col min="38" max="38" width="5.140625" style="16" bestFit="1" customWidth="1"/>
    <col min="39" max="39" width="32.140625" style="28" customWidth="1"/>
    <col min="40" max="16384" width="9.140625" style="1"/>
  </cols>
  <sheetData>
    <row r="1" spans="1:39" ht="25.5" x14ac:dyDescent="0.25">
      <c r="A1" s="316" t="s">
        <v>0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  <c r="AF1" s="317"/>
      <c r="AG1" s="317"/>
      <c r="AH1" s="317"/>
      <c r="AI1" s="317"/>
      <c r="AJ1" s="317"/>
      <c r="AK1" s="317"/>
      <c r="AL1" s="317"/>
      <c r="AM1" s="317"/>
    </row>
    <row r="2" spans="1:39" x14ac:dyDescent="0.25">
      <c r="A2" s="318" t="s">
        <v>1</v>
      </c>
      <c r="B2" s="319"/>
      <c r="C2" s="319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  <c r="AA2" s="319"/>
      <c r="AB2" s="319"/>
      <c r="AC2" s="319"/>
      <c r="AD2" s="319"/>
      <c r="AE2" s="319"/>
      <c r="AF2" s="319"/>
      <c r="AG2" s="319"/>
      <c r="AH2" s="319"/>
      <c r="AI2" s="319"/>
      <c r="AJ2" s="319"/>
      <c r="AK2" s="319"/>
      <c r="AL2" s="319"/>
      <c r="AM2" s="319"/>
    </row>
    <row r="3" spans="1:39" x14ac:dyDescent="0.25">
      <c r="A3" s="214" t="str">
        <f>"Fan Exhaust ("&amp;TEXT('Fan Lathe'!AM3,"mmmm yyyy")&amp;")"</f>
        <v>Fan Exhaust (January 2026)</v>
      </c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5"/>
      <c r="AD3" s="215"/>
      <c r="AE3" s="215"/>
      <c r="AF3" s="215"/>
      <c r="AG3" s="215"/>
      <c r="AH3" s="215"/>
      <c r="AI3" s="215"/>
      <c r="AJ3" s="215"/>
      <c r="AK3" s="215"/>
      <c r="AL3" s="215"/>
      <c r="AM3" s="216">
        <v>45962</v>
      </c>
    </row>
    <row r="4" spans="1:39" ht="13.5" thickBot="1" x14ac:dyDescent="0.3">
      <c r="A4" s="387"/>
      <c r="B4" s="388"/>
      <c r="C4" s="388"/>
      <c r="D4" s="388"/>
      <c r="E4" s="388"/>
      <c r="F4" s="388"/>
      <c r="G4" s="388"/>
      <c r="H4" s="388"/>
      <c r="I4" s="388"/>
      <c r="J4" s="389"/>
      <c r="K4" s="4">
        <v>10</v>
      </c>
      <c r="L4" s="4">
        <v>11</v>
      </c>
      <c r="M4" s="4">
        <v>12</v>
      </c>
      <c r="N4" s="4">
        <v>13</v>
      </c>
      <c r="O4" s="4">
        <v>14</v>
      </c>
      <c r="P4" s="4">
        <v>15</v>
      </c>
      <c r="Q4" s="4">
        <v>16</v>
      </c>
      <c r="R4" s="4">
        <v>17</v>
      </c>
      <c r="S4" s="4">
        <v>18</v>
      </c>
      <c r="T4" s="4">
        <v>19</v>
      </c>
      <c r="U4" s="4">
        <v>20</v>
      </c>
      <c r="V4" s="4">
        <v>21</v>
      </c>
      <c r="W4" s="4">
        <v>22</v>
      </c>
      <c r="X4" s="4">
        <v>23</v>
      </c>
      <c r="Y4" s="4">
        <v>24</v>
      </c>
      <c r="Z4" s="4">
        <v>25</v>
      </c>
      <c r="AA4" s="4">
        <v>26</v>
      </c>
      <c r="AB4" s="4">
        <v>27</v>
      </c>
      <c r="AC4" s="4">
        <v>28</v>
      </c>
      <c r="AD4" s="4">
        <v>29</v>
      </c>
      <c r="AE4" s="4">
        <v>30</v>
      </c>
      <c r="AF4" s="4">
        <v>31</v>
      </c>
      <c r="AG4" s="4">
        <v>32</v>
      </c>
      <c r="AH4" s="387"/>
      <c r="AI4" s="388"/>
      <c r="AJ4" s="388"/>
      <c r="AK4" s="388"/>
      <c r="AL4" s="388"/>
      <c r="AM4" s="389"/>
    </row>
    <row r="5" spans="1:39" s="5" customFormat="1" ht="110.25" customHeight="1" x14ac:dyDescent="0.25">
      <c r="A5" s="73" t="s">
        <v>2</v>
      </c>
      <c r="B5" s="74" t="s">
        <v>3</v>
      </c>
      <c r="C5" s="74" t="s">
        <v>4</v>
      </c>
      <c r="D5" s="74" t="s">
        <v>5</v>
      </c>
      <c r="E5" s="74" t="s">
        <v>35</v>
      </c>
      <c r="F5" s="74" t="s">
        <v>41</v>
      </c>
      <c r="G5" s="74" t="s">
        <v>6</v>
      </c>
      <c r="H5" s="74" t="s">
        <v>26</v>
      </c>
      <c r="I5" s="74" t="s">
        <v>42</v>
      </c>
      <c r="J5" s="75" t="s">
        <v>43</v>
      </c>
      <c r="K5" s="76" t="s">
        <v>28</v>
      </c>
      <c r="L5" s="30" t="s">
        <v>29</v>
      </c>
      <c r="M5" s="30" t="s">
        <v>27</v>
      </c>
      <c r="N5" s="30" t="s">
        <v>8</v>
      </c>
      <c r="O5" s="30" t="s">
        <v>38</v>
      </c>
      <c r="P5" s="30" t="s">
        <v>9</v>
      </c>
      <c r="Q5" s="30" t="s">
        <v>10</v>
      </c>
      <c r="R5" s="30" t="s">
        <v>11</v>
      </c>
      <c r="S5" s="30" t="s">
        <v>12</v>
      </c>
      <c r="T5" s="30" t="s">
        <v>13</v>
      </c>
      <c r="U5" s="30" t="s">
        <v>14</v>
      </c>
      <c r="V5" s="30" t="s">
        <v>30</v>
      </c>
      <c r="W5" s="30" t="s">
        <v>44</v>
      </c>
      <c r="X5" s="30" t="s">
        <v>25</v>
      </c>
      <c r="Y5" s="30" t="s">
        <v>31</v>
      </c>
      <c r="Z5" s="30" t="s">
        <v>32</v>
      </c>
      <c r="AA5" s="30" t="s">
        <v>15</v>
      </c>
      <c r="AB5" s="30" t="s">
        <v>16</v>
      </c>
      <c r="AC5" s="30" t="s">
        <v>33</v>
      </c>
      <c r="AD5" s="30" t="s">
        <v>36</v>
      </c>
      <c r="AE5" s="30" t="s">
        <v>40</v>
      </c>
      <c r="AF5" s="30" t="s">
        <v>37</v>
      </c>
      <c r="AG5" s="30" t="s">
        <v>39</v>
      </c>
      <c r="AH5" s="77" t="s">
        <v>17</v>
      </c>
      <c r="AI5" s="74" t="s">
        <v>18</v>
      </c>
      <c r="AJ5" s="74" t="s">
        <v>19</v>
      </c>
      <c r="AK5" s="74" t="s">
        <v>20</v>
      </c>
      <c r="AL5" s="78" t="s">
        <v>21</v>
      </c>
      <c r="AM5" s="79" t="s">
        <v>22</v>
      </c>
    </row>
    <row r="6" spans="1:39" s="7" customFormat="1" ht="12.75" customHeight="1" x14ac:dyDescent="0.2">
      <c r="A6" s="44">
        <f>AM3</f>
        <v>45962</v>
      </c>
      <c r="B6" s="45">
        <f>A6</f>
        <v>45962</v>
      </c>
      <c r="C6" s="46" t="s">
        <v>23</v>
      </c>
      <c r="D6" s="9" t="s">
        <v>24</v>
      </c>
      <c r="E6" s="228"/>
      <c r="F6" s="229"/>
      <c r="G6" s="230"/>
      <c r="H6" s="231"/>
      <c r="I6" s="47">
        <f>IF(E6&lt;&gt;"",30,0)</f>
        <v>0</v>
      </c>
      <c r="J6" s="48">
        <f t="shared" ref="J6:J36" si="0">H6-AH6</f>
        <v>0</v>
      </c>
      <c r="K6" s="232"/>
      <c r="L6" s="232"/>
      <c r="M6" s="232"/>
      <c r="N6" s="232"/>
      <c r="O6" s="232"/>
      <c r="P6" s="232"/>
      <c r="Q6" s="232"/>
      <c r="R6" s="232"/>
      <c r="S6" s="232"/>
      <c r="T6" s="232"/>
      <c r="U6" s="232"/>
      <c r="V6" s="232"/>
      <c r="W6" s="232"/>
      <c r="X6" s="232"/>
      <c r="Y6" s="232"/>
      <c r="Z6" s="21">
        <f>IF(E6&lt;&gt;"",30,0)</f>
        <v>0</v>
      </c>
      <c r="AA6" s="232"/>
      <c r="AB6" s="232"/>
      <c r="AC6" s="232"/>
      <c r="AD6" s="232"/>
      <c r="AE6" s="232"/>
      <c r="AF6" s="232"/>
      <c r="AG6" s="232"/>
      <c r="AH6" s="49">
        <f>SUM(K6:AG6)</f>
        <v>0</v>
      </c>
      <c r="AI6" s="6" t="str">
        <f t="shared" ref="AI6:AI36" si="1">IFERROR(J6/H6,"0")</f>
        <v>0</v>
      </c>
      <c r="AJ6" s="6" t="str">
        <f t="shared" ref="AJ6:AJ36" si="2">IFERROR(F6/E6,"0")</f>
        <v>0</v>
      </c>
      <c r="AK6" s="6" t="str">
        <f t="shared" ref="AK6:AK36" si="3">IFERROR(F6/(F6+G6),"0")</f>
        <v>0</v>
      </c>
      <c r="AL6" s="6">
        <f t="shared" ref="AL6:AL36" si="4">IFERROR(AK6*AJ6*AI6,"0")</f>
        <v>0</v>
      </c>
      <c r="AM6" s="241"/>
    </row>
    <row r="7" spans="1:39" s="7" customFormat="1" ht="16.5" customHeight="1" x14ac:dyDescent="0.2">
      <c r="A7" s="44">
        <f>A6+1</f>
        <v>45963</v>
      </c>
      <c r="B7" s="45">
        <f t="shared" ref="B7:B36" si="5">A7</f>
        <v>45963</v>
      </c>
      <c r="C7" s="46" t="s">
        <v>23</v>
      </c>
      <c r="D7" s="9" t="s">
        <v>24</v>
      </c>
      <c r="E7" s="228"/>
      <c r="F7" s="229"/>
      <c r="G7" s="230"/>
      <c r="H7" s="231"/>
      <c r="I7" s="47">
        <f t="shared" ref="I7:I36" si="6">IF(E7&lt;&gt;"",30,0)</f>
        <v>0</v>
      </c>
      <c r="J7" s="48">
        <f t="shared" si="0"/>
        <v>0</v>
      </c>
      <c r="K7" s="232"/>
      <c r="L7" s="232"/>
      <c r="M7" s="232"/>
      <c r="N7" s="232"/>
      <c r="O7" s="232"/>
      <c r="P7" s="232"/>
      <c r="Q7" s="232"/>
      <c r="R7" s="232"/>
      <c r="S7" s="232"/>
      <c r="T7" s="232"/>
      <c r="U7" s="232"/>
      <c r="V7" s="232"/>
      <c r="W7" s="232"/>
      <c r="X7" s="232"/>
      <c r="Y7" s="232"/>
      <c r="Z7" s="21">
        <f t="shared" ref="Z7:Z36" si="7">IF(E7&lt;&gt;"",30,0)</f>
        <v>0</v>
      </c>
      <c r="AA7" s="232"/>
      <c r="AB7" s="232"/>
      <c r="AC7" s="232"/>
      <c r="AD7" s="232"/>
      <c r="AE7" s="232"/>
      <c r="AF7" s="232"/>
      <c r="AG7" s="232"/>
      <c r="AH7" s="49">
        <f>SUM(K7:AG7)</f>
        <v>0</v>
      </c>
      <c r="AI7" s="6" t="str">
        <f t="shared" si="1"/>
        <v>0</v>
      </c>
      <c r="AJ7" s="6" t="str">
        <f t="shared" si="2"/>
        <v>0</v>
      </c>
      <c r="AK7" s="6" t="str">
        <f t="shared" si="3"/>
        <v>0</v>
      </c>
      <c r="AL7" s="6">
        <f t="shared" si="4"/>
        <v>0</v>
      </c>
      <c r="AM7" s="241"/>
    </row>
    <row r="8" spans="1:39" s="7" customFormat="1" x14ac:dyDescent="0.25">
      <c r="A8" s="44">
        <f t="shared" ref="A8:A36" si="8">A7+1</f>
        <v>45964</v>
      </c>
      <c r="B8" s="45">
        <f t="shared" si="5"/>
        <v>45964</v>
      </c>
      <c r="C8" s="46" t="s">
        <v>23</v>
      </c>
      <c r="D8" s="9" t="s">
        <v>24</v>
      </c>
      <c r="E8" s="228"/>
      <c r="F8" s="229"/>
      <c r="G8" s="230"/>
      <c r="H8" s="231"/>
      <c r="I8" s="11">
        <f t="shared" si="6"/>
        <v>0</v>
      </c>
      <c r="J8" s="48">
        <f t="shared" si="0"/>
        <v>0</v>
      </c>
      <c r="K8" s="232"/>
      <c r="L8" s="232"/>
      <c r="M8" s="232"/>
      <c r="N8" s="232"/>
      <c r="O8" s="232"/>
      <c r="P8" s="232"/>
      <c r="Q8" s="232"/>
      <c r="R8" s="232"/>
      <c r="S8" s="232"/>
      <c r="T8" s="232"/>
      <c r="U8" s="232"/>
      <c r="V8" s="232"/>
      <c r="W8" s="232"/>
      <c r="X8" s="232"/>
      <c r="Y8" s="232"/>
      <c r="Z8" s="21">
        <f t="shared" si="7"/>
        <v>0</v>
      </c>
      <c r="AA8" s="232"/>
      <c r="AB8" s="232"/>
      <c r="AC8" s="232"/>
      <c r="AD8" s="232"/>
      <c r="AE8" s="232"/>
      <c r="AF8" s="232"/>
      <c r="AG8" s="232"/>
      <c r="AH8" s="49">
        <f t="shared" ref="AH8:AH36" si="9">SUM(K8:AG8)</f>
        <v>0</v>
      </c>
      <c r="AI8" s="6" t="str">
        <f t="shared" si="1"/>
        <v>0</v>
      </c>
      <c r="AJ8" s="6" t="str">
        <f t="shared" si="2"/>
        <v>0</v>
      </c>
      <c r="AK8" s="6" t="str">
        <f t="shared" si="3"/>
        <v>0</v>
      </c>
      <c r="AL8" s="6">
        <f t="shared" si="4"/>
        <v>0</v>
      </c>
      <c r="AM8" s="241"/>
    </row>
    <row r="9" spans="1:39" s="7" customFormat="1" x14ac:dyDescent="0.25">
      <c r="A9" s="44">
        <f t="shared" si="8"/>
        <v>45965</v>
      </c>
      <c r="B9" s="45">
        <f t="shared" si="5"/>
        <v>45965</v>
      </c>
      <c r="C9" s="46" t="s">
        <v>23</v>
      </c>
      <c r="D9" s="9" t="s">
        <v>24</v>
      </c>
      <c r="E9" s="228"/>
      <c r="F9" s="229"/>
      <c r="G9" s="230"/>
      <c r="H9" s="231"/>
      <c r="I9" s="11">
        <f t="shared" si="6"/>
        <v>0</v>
      </c>
      <c r="J9" s="48">
        <f t="shared" si="0"/>
        <v>0</v>
      </c>
      <c r="K9" s="232"/>
      <c r="L9" s="232"/>
      <c r="M9" s="232"/>
      <c r="N9" s="232"/>
      <c r="O9" s="232"/>
      <c r="P9" s="232"/>
      <c r="Q9" s="232"/>
      <c r="R9" s="232"/>
      <c r="S9" s="232"/>
      <c r="T9" s="232"/>
      <c r="U9" s="232"/>
      <c r="V9" s="232"/>
      <c r="W9" s="232"/>
      <c r="X9" s="232"/>
      <c r="Y9" s="232"/>
      <c r="Z9" s="21">
        <f t="shared" si="7"/>
        <v>0</v>
      </c>
      <c r="AA9" s="232"/>
      <c r="AB9" s="232"/>
      <c r="AC9" s="232"/>
      <c r="AD9" s="232"/>
      <c r="AE9" s="232"/>
      <c r="AF9" s="232"/>
      <c r="AG9" s="232"/>
      <c r="AH9" s="49">
        <f t="shared" si="9"/>
        <v>0</v>
      </c>
      <c r="AI9" s="6" t="str">
        <f t="shared" si="1"/>
        <v>0</v>
      </c>
      <c r="AJ9" s="6" t="str">
        <f t="shared" si="2"/>
        <v>0</v>
      </c>
      <c r="AK9" s="6" t="str">
        <f t="shared" si="3"/>
        <v>0</v>
      </c>
      <c r="AL9" s="6">
        <f t="shared" si="4"/>
        <v>0</v>
      </c>
      <c r="AM9" s="241"/>
    </row>
    <row r="10" spans="1:39" s="7" customFormat="1" x14ac:dyDescent="0.25">
      <c r="A10" s="44">
        <f t="shared" si="8"/>
        <v>45966</v>
      </c>
      <c r="B10" s="45">
        <f t="shared" si="5"/>
        <v>45966</v>
      </c>
      <c r="C10" s="46" t="s">
        <v>23</v>
      </c>
      <c r="D10" s="9" t="s">
        <v>24</v>
      </c>
      <c r="E10" s="228"/>
      <c r="F10" s="229"/>
      <c r="G10" s="230"/>
      <c r="H10" s="231"/>
      <c r="I10" s="11">
        <f t="shared" si="6"/>
        <v>0</v>
      </c>
      <c r="J10" s="48">
        <f t="shared" si="0"/>
        <v>0</v>
      </c>
      <c r="K10" s="232"/>
      <c r="L10" s="232"/>
      <c r="M10" s="232"/>
      <c r="N10" s="232"/>
      <c r="O10" s="232"/>
      <c r="P10" s="232"/>
      <c r="Q10" s="232"/>
      <c r="R10" s="232"/>
      <c r="S10" s="232"/>
      <c r="T10" s="232"/>
      <c r="U10" s="232"/>
      <c r="V10" s="232"/>
      <c r="W10" s="232"/>
      <c r="X10" s="232"/>
      <c r="Y10" s="232"/>
      <c r="Z10" s="21">
        <f t="shared" si="7"/>
        <v>0</v>
      </c>
      <c r="AA10" s="232"/>
      <c r="AB10" s="232"/>
      <c r="AC10" s="232"/>
      <c r="AD10" s="232"/>
      <c r="AE10" s="232"/>
      <c r="AF10" s="232"/>
      <c r="AG10" s="232"/>
      <c r="AH10" s="49">
        <f t="shared" si="9"/>
        <v>0</v>
      </c>
      <c r="AI10" s="6" t="str">
        <f t="shared" si="1"/>
        <v>0</v>
      </c>
      <c r="AJ10" s="6" t="str">
        <f t="shared" si="2"/>
        <v>0</v>
      </c>
      <c r="AK10" s="6" t="str">
        <f t="shared" si="3"/>
        <v>0</v>
      </c>
      <c r="AL10" s="6">
        <f t="shared" si="4"/>
        <v>0</v>
      </c>
      <c r="AM10" s="241"/>
    </row>
    <row r="11" spans="1:39" s="7" customFormat="1" ht="16.5" customHeight="1" x14ac:dyDescent="0.2">
      <c r="A11" s="44">
        <f t="shared" si="8"/>
        <v>45967</v>
      </c>
      <c r="B11" s="45">
        <f t="shared" si="5"/>
        <v>45967</v>
      </c>
      <c r="C11" s="46" t="s">
        <v>23</v>
      </c>
      <c r="D11" s="9" t="s">
        <v>24</v>
      </c>
      <c r="E11" s="228"/>
      <c r="F11" s="229"/>
      <c r="G11" s="230"/>
      <c r="H11" s="231"/>
      <c r="I11" s="47">
        <f t="shared" si="6"/>
        <v>0</v>
      </c>
      <c r="J11" s="48">
        <f t="shared" si="0"/>
        <v>0</v>
      </c>
      <c r="K11" s="232"/>
      <c r="L11" s="232"/>
      <c r="M11" s="232"/>
      <c r="N11" s="232"/>
      <c r="O11" s="232"/>
      <c r="P11" s="232"/>
      <c r="Q11" s="232"/>
      <c r="R11" s="232"/>
      <c r="S11" s="232"/>
      <c r="T11" s="232"/>
      <c r="U11" s="232"/>
      <c r="V11" s="232"/>
      <c r="W11" s="232"/>
      <c r="X11" s="232"/>
      <c r="Y11" s="232"/>
      <c r="Z11" s="21">
        <f t="shared" si="7"/>
        <v>0</v>
      </c>
      <c r="AA11" s="232"/>
      <c r="AB11" s="232"/>
      <c r="AC11" s="232"/>
      <c r="AD11" s="232"/>
      <c r="AE11" s="232"/>
      <c r="AF11" s="232"/>
      <c r="AG11" s="232"/>
      <c r="AH11" s="49">
        <f t="shared" si="9"/>
        <v>0</v>
      </c>
      <c r="AI11" s="6" t="str">
        <f t="shared" si="1"/>
        <v>0</v>
      </c>
      <c r="AJ11" s="6" t="str">
        <f t="shared" si="2"/>
        <v>0</v>
      </c>
      <c r="AK11" s="6" t="str">
        <f t="shared" si="3"/>
        <v>0</v>
      </c>
      <c r="AL11" s="6">
        <f t="shared" si="4"/>
        <v>0</v>
      </c>
      <c r="AM11" s="241"/>
    </row>
    <row r="12" spans="1:39" s="7" customFormat="1" x14ac:dyDescent="0.25">
      <c r="A12" s="44">
        <f t="shared" si="8"/>
        <v>45968</v>
      </c>
      <c r="B12" s="45">
        <f t="shared" si="5"/>
        <v>45968</v>
      </c>
      <c r="C12" s="46" t="s">
        <v>23</v>
      </c>
      <c r="D12" s="9" t="s">
        <v>24</v>
      </c>
      <c r="E12" s="228"/>
      <c r="F12" s="229"/>
      <c r="G12" s="230"/>
      <c r="H12" s="231"/>
      <c r="I12" s="11">
        <f t="shared" si="6"/>
        <v>0</v>
      </c>
      <c r="J12" s="48">
        <f t="shared" si="0"/>
        <v>0</v>
      </c>
      <c r="K12" s="232"/>
      <c r="L12" s="232"/>
      <c r="M12" s="232"/>
      <c r="N12" s="232"/>
      <c r="O12" s="232"/>
      <c r="P12" s="232"/>
      <c r="Q12" s="232"/>
      <c r="R12" s="232"/>
      <c r="S12" s="232"/>
      <c r="T12" s="232"/>
      <c r="U12" s="232"/>
      <c r="V12" s="232"/>
      <c r="W12" s="232"/>
      <c r="X12" s="232"/>
      <c r="Y12" s="232"/>
      <c r="Z12" s="21">
        <f t="shared" si="7"/>
        <v>0</v>
      </c>
      <c r="AA12" s="232"/>
      <c r="AB12" s="232"/>
      <c r="AC12" s="232"/>
      <c r="AD12" s="232"/>
      <c r="AE12" s="232"/>
      <c r="AF12" s="232"/>
      <c r="AG12" s="232"/>
      <c r="AH12" s="49">
        <f t="shared" si="9"/>
        <v>0</v>
      </c>
      <c r="AI12" s="6" t="str">
        <f t="shared" si="1"/>
        <v>0</v>
      </c>
      <c r="AJ12" s="6" t="str">
        <f t="shared" si="2"/>
        <v>0</v>
      </c>
      <c r="AK12" s="6" t="str">
        <f t="shared" si="3"/>
        <v>0</v>
      </c>
      <c r="AL12" s="6">
        <f t="shared" si="4"/>
        <v>0</v>
      </c>
      <c r="AM12" s="241"/>
    </row>
    <row r="13" spans="1:39" s="7" customFormat="1" x14ac:dyDescent="0.25">
      <c r="A13" s="44">
        <f t="shared" si="8"/>
        <v>45969</v>
      </c>
      <c r="B13" s="45">
        <f t="shared" si="5"/>
        <v>45969</v>
      </c>
      <c r="C13" s="46" t="s">
        <v>23</v>
      </c>
      <c r="D13" s="9" t="s">
        <v>24</v>
      </c>
      <c r="E13" s="228"/>
      <c r="F13" s="229"/>
      <c r="G13" s="230"/>
      <c r="H13" s="231"/>
      <c r="I13" s="11">
        <f t="shared" si="6"/>
        <v>0</v>
      </c>
      <c r="J13" s="48">
        <f t="shared" si="0"/>
        <v>0</v>
      </c>
      <c r="K13" s="232"/>
      <c r="L13" s="232"/>
      <c r="M13" s="232"/>
      <c r="N13" s="232"/>
      <c r="O13" s="232"/>
      <c r="P13" s="232"/>
      <c r="Q13" s="232"/>
      <c r="R13" s="232"/>
      <c r="S13" s="232"/>
      <c r="T13" s="232"/>
      <c r="U13" s="232"/>
      <c r="V13" s="232"/>
      <c r="W13" s="232"/>
      <c r="X13" s="232"/>
      <c r="Y13" s="232"/>
      <c r="Z13" s="21">
        <f t="shared" si="7"/>
        <v>0</v>
      </c>
      <c r="AA13" s="232"/>
      <c r="AB13" s="232"/>
      <c r="AC13" s="232"/>
      <c r="AD13" s="232"/>
      <c r="AE13" s="232"/>
      <c r="AF13" s="232"/>
      <c r="AG13" s="232"/>
      <c r="AH13" s="49">
        <f t="shared" si="9"/>
        <v>0</v>
      </c>
      <c r="AI13" s="6" t="str">
        <f t="shared" si="1"/>
        <v>0</v>
      </c>
      <c r="AJ13" s="6" t="str">
        <f t="shared" si="2"/>
        <v>0</v>
      </c>
      <c r="AK13" s="6" t="str">
        <f t="shared" si="3"/>
        <v>0</v>
      </c>
      <c r="AL13" s="6">
        <f t="shared" si="4"/>
        <v>0</v>
      </c>
      <c r="AM13" s="241"/>
    </row>
    <row r="14" spans="1:39" s="7" customFormat="1" x14ac:dyDescent="0.25">
      <c r="A14" s="44">
        <f t="shared" si="8"/>
        <v>45970</v>
      </c>
      <c r="B14" s="45">
        <f t="shared" si="5"/>
        <v>45970</v>
      </c>
      <c r="C14" s="46" t="s">
        <v>23</v>
      </c>
      <c r="D14" s="9" t="s">
        <v>24</v>
      </c>
      <c r="E14" s="228"/>
      <c r="F14" s="229"/>
      <c r="G14" s="230"/>
      <c r="H14" s="231"/>
      <c r="I14" s="11">
        <f t="shared" si="6"/>
        <v>0</v>
      </c>
      <c r="J14" s="48">
        <f t="shared" si="0"/>
        <v>0</v>
      </c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1">
        <f t="shared" si="7"/>
        <v>0</v>
      </c>
      <c r="AA14" s="232"/>
      <c r="AB14" s="232"/>
      <c r="AC14" s="232"/>
      <c r="AD14" s="232"/>
      <c r="AE14" s="232"/>
      <c r="AF14" s="232"/>
      <c r="AG14" s="232"/>
      <c r="AH14" s="49">
        <f t="shared" si="9"/>
        <v>0</v>
      </c>
      <c r="AI14" s="6" t="str">
        <f t="shared" si="1"/>
        <v>0</v>
      </c>
      <c r="AJ14" s="6" t="str">
        <f t="shared" si="2"/>
        <v>0</v>
      </c>
      <c r="AK14" s="6" t="str">
        <f t="shared" si="3"/>
        <v>0</v>
      </c>
      <c r="AL14" s="6">
        <f t="shared" si="4"/>
        <v>0</v>
      </c>
      <c r="AM14" s="241"/>
    </row>
    <row r="15" spans="1:39" s="7" customFormat="1" x14ac:dyDescent="0.25">
      <c r="A15" s="44">
        <f t="shared" si="8"/>
        <v>45971</v>
      </c>
      <c r="B15" s="45">
        <f t="shared" si="5"/>
        <v>45971</v>
      </c>
      <c r="C15" s="46" t="s">
        <v>23</v>
      </c>
      <c r="D15" s="9" t="s">
        <v>24</v>
      </c>
      <c r="E15" s="228"/>
      <c r="F15" s="229"/>
      <c r="G15" s="230"/>
      <c r="H15" s="231"/>
      <c r="I15" s="11">
        <f t="shared" si="6"/>
        <v>0</v>
      </c>
      <c r="J15" s="48">
        <f t="shared" si="0"/>
        <v>0</v>
      </c>
      <c r="K15" s="232"/>
      <c r="L15" s="232"/>
      <c r="M15" s="232"/>
      <c r="N15" s="232"/>
      <c r="O15" s="232"/>
      <c r="P15" s="232"/>
      <c r="Q15" s="232"/>
      <c r="R15" s="232"/>
      <c r="S15" s="232"/>
      <c r="T15" s="232"/>
      <c r="U15" s="232"/>
      <c r="V15" s="232"/>
      <c r="W15" s="232"/>
      <c r="X15" s="232"/>
      <c r="Y15" s="232"/>
      <c r="Z15" s="21">
        <f t="shared" si="7"/>
        <v>0</v>
      </c>
      <c r="AA15" s="232"/>
      <c r="AB15" s="232"/>
      <c r="AC15" s="232"/>
      <c r="AD15" s="232"/>
      <c r="AE15" s="232"/>
      <c r="AF15" s="232"/>
      <c r="AG15" s="232"/>
      <c r="AH15" s="49">
        <f t="shared" si="9"/>
        <v>0</v>
      </c>
      <c r="AI15" s="6" t="str">
        <f t="shared" si="1"/>
        <v>0</v>
      </c>
      <c r="AJ15" s="6" t="str">
        <f t="shared" si="2"/>
        <v>0</v>
      </c>
      <c r="AK15" s="6" t="str">
        <f t="shared" si="3"/>
        <v>0</v>
      </c>
      <c r="AL15" s="6">
        <f t="shared" si="4"/>
        <v>0</v>
      </c>
      <c r="AM15" s="241"/>
    </row>
    <row r="16" spans="1:39" s="7" customFormat="1" x14ac:dyDescent="0.25">
      <c r="A16" s="44">
        <f t="shared" si="8"/>
        <v>45972</v>
      </c>
      <c r="B16" s="45">
        <f t="shared" si="5"/>
        <v>45972</v>
      </c>
      <c r="C16" s="46" t="s">
        <v>23</v>
      </c>
      <c r="D16" s="9" t="s">
        <v>24</v>
      </c>
      <c r="E16" s="228"/>
      <c r="F16" s="229"/>
      <c r="G16" s="230"/>
      <c r="H16" s="231"/>
      <c r="I16" s="11">
        <f t="shared" si="6"/>
        <v>0</v>
      </c>
      <c r="J16" s="48">
        <f t="shared" si="0"/>
        <v>0</v>
      </c>
      <c r="K16" s="232"/>
      <c r="L16" s="232"/>
      <c r="M16" s="232"/>
      <c r="N16" s="232"/>
      <c r="O16" s="232"/>
      <c r="P16" s="232"/>
      <c r="Q16" s="232"/>
      <c r="R16" s="232"/>
      <c r="S16" s="232"/>
      <c r="T16" s="232"/>
      <c r="U16" s="232"/>
      <c r="V16" s="232"/>
      <c r="W16" s="232"/>
      <c r="X16" s="232"/>
      <c r="Y16" s="232"/>
      <c r="Z16" s="21">
        <f t="shared" si="7"/>
        <v>0</v>
      </c>
      <c r="AA16" s="232"/>
      <c r="AB16" s="232"/>
      <c r="AC16" s="232"/>
      <c r="AD16" s="232"/>
      <c r="AE16" s="232"/>
      <c r="AF16" s="232"/>
      <c r="AG16" s="232"/>
      <c r="AH16" s="49">
        <f t="shared" si="9"/>
        <v>0</v>
      </c>
      <c r="AI16" s="6" t="str">
        <f t="shared" si="1"/>
        <v>0</v>
      </c>
      <c r="AJ16" s="6" t="str">
        <f t="shared" si="2"/>
        <v>0</v>
      </c>
      <c r="AK16" s="6" t="str">
        <f t="shared" si="3"/>
        <v>0</v>
      </c>
      <c r="AL16" s="6">
        <f t="shared" si="4"/>
        <v>0</v>
      </c>
      <c r="AM16" s="241"/>
    </row>
    <row r="17" spans="1:39" s="7" customFormat="1" x14ac:dyDescent="0.25">
      <c r="A17" s="44">
        <f t="shared" si="8"/>
        <v>45973</v>
      </c>
      <c r="B17" s="45">
        <f t="shared" si="5"/>
        <v>45973</v>
      </c>
      <c r="C17" s="46" t="s">
        <v>23</v>
      </c>
      <c r="D17" s="9" t="s">
        <v>24</v>
      </c>
      <c r="E17" s="228"/>
      <c r="F17" s="229"/>
      <c r="G17" s="230"/>
      <c r="H17" s="231"/>
      <c r="I17" s="11">
        <f t="shared" si="6"/>
        <v>0</v>
      </c>
      <c r="J17" s="48">
        <f t="shared" si="0"/>
        <v>0</v>
      </c>
      <c r="K17" s="232"/>
      <c r="L17" s="232"/>
      <c r="M17" s="232"/>
      <c r="N17" s="232"/>
      <c r="O17" s="232"/>
      <c r="P17" s="232"/>
      <c r="Q17" s="232"/>
      <c r="R17" s="232"/>
      <c r="S17" s="232"/>
      <c r="T17" s="232"/>
      <c r="U17" s="232"/>
      <c r="V17" s="232"/>
      <c r="W17" s="232"/>
      <c r="X17" s="232"/>
      <c r="Y17" s="232"/>
      <c r="Z17" s="21">
        <f t="shared" si="7"/>
        <v>0</v>
      </c>
      <c r="AA17" s="232"/>
      <c r="AB17" s="232"/>
      <c r="AC17" s="232"/>
      <c r="AD17" s="232"/>
      <c r="AE17" s="232"/>
      <c r="AF17" s="232"/>
      <c r="AG17" s="232"/>
      <c r="AH17" s="49">
        <f t="shared" si="9"/>
        <v>0</v>
      </c>
      <c r="AI17" s="6" t="str">
        <f t="shared" si="1"/>
        <v>0</v>
      </c>
      <c r="AJ17" s="6" t="str">
        <f t="shared" si="2"/>
        <v>0</v>
      </c>
      <c r="AK17" s="6" t="str">
        <f t="shared" si="3"/>
        <v>0</v>
      </c>
      <c r="AL17" s="6">
        <f t="shared" si="4"/>
        <v>0</v>
      </c>
      <c r="AM17" s="241"/>
    </row>
    <row r="18" spans="1:39" s="7" customFormat="1" x14ac:dyDescent="0.25">
      <c r="A18" s="44">
        <f t="shared" si="8"/>
        <v>45974</v>
      </c>
      <c r="B18" s="45">
        <f t="shared" si="5"/>
        <v>45974</v>
      </c>
      <c r="C18" s="46" t="s">
        <v>23</v>
      </c>
      <c r="D18" s="9" t="s">
        <v>24</v>
      </c>
      <c r="E18" s="228"/>
      <c r="F18" s="229"/>
      <c r="G18" s="230"/>
      <c r="H18" s="231"/>
      <c r="I18" s="11">
        <f t="shared" si="6"/>
        <v>0</v>
      </c>
      <c r="J18" s="48">
        <f t="shared" si="0"/>
        <v>0</v>
      </c>
      <c r="K18" s="232"/>
      <c r="L18" s="232"/>
      <c r="M18" s="232"/>
      <c r="N18" s="232"/>
      <c r="O18" s="232"/>
      <c r="P18" s="232"/>
      <c r="Q18" s="232"/>
      <c r="R18" s="232"/>
      <c r="S18" s="232"/>
      <c r="T18" s="232"/>
      <c r="U18" s="232"/>
      <c r="V18" s="232"/>
      <c r="W18" s="232"/>
      <c r="X18" s="232"/>
      <c r="Y18" s="232"/>
      <c r="Z18" s="21">
        <f t="shared" si="7"/>
        <v>0</v>
      </c>
      <c r="AA18" s="232"/>
      <c r="AB18" s="232"/>
      <c r="AC18" s="232"/>
      <c r="AD18" s="232"/>
      <c r="AE18" s="232"/>
      <c r="AF18" s="232"/>
      <c r="AG18" s="232"/>
      <c r="AH18" s="49">
        <f t="shared" si="9"/>
        <v>0</v>
      </c>
      <c r="AI18" s="6" t="str">
        <f t="shared" si="1"/>
        <v>0</v>
      </c>
      <c r="AJ18" s="6" t="str">
        <f t="shared" si="2"/>
        <v>0</v>
      </c>
      <c r="AK18" s="6" t="str">
        <f t="shared" si="3"/>
        <v>0</v>
      </c>
      <c r="AL18" s="6">
        <f t="shared" si="4"/>
        <v>0</v>
      </c>
      <c r="AM18" s="241"/>
    </row>
    <row r="19" spans="1:39" s="7" customFormat="1" x14ac:dyDescent="0.25">
      <c r="A19" s="44">
        <f t="shared" si="8"/>
        <v>45975</v>
      </c>
      <c r="B19" s="45">
        <f t="shared" si="5"/>
        <v>45975</v>
      </c>
      <c r="C19" s="46" t="s">
        <v>23</v>
      </c>
      <c r="D19" s="9" t="s">
        <v>24</v>
      </c>
      <c r="E19" s="228"/>
      <c r="F19" s="229"/>
      <c r="G19" s="230"/>
      <c r="H19" s="231"/>
      <c r="I19" s="11">
        <f t="shared" si="6"/>
        <v>0</v>
      </c>
      <c r="J19" s="48">
        <f t="shared" si="0"/>
        <v>0</v>
      </c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2"/>
      <c r="W19" s="232"/>
      <c r="X19" s="232"/>
      <c r="Y19" s="232"/>
      <c r="Z19" s="21">
        <f t="shared" si="7"/>
        <v>0</v>
      </c>
      <c r="AA19" s="232"/>
      <c r="AB19" s="232"/>
      <c r="AC19" s="232"/>
      <c r="AD19" s="232"/>
      <c r="AE19" s="232"/>
      <c r="AF19" s="232"/>
      <c r="AG19" s="232"/>
      <c r="AH19" s="49">
        <f t="shared" si="9"/>
        <v>0</v>
      </c>
      <c r="AI19" s="6" t="str">
        <f t="shared" si="1"/>
        <v>0</v>
      </c>
      <c r="AJ19" s="6" t="str">
        <f t="shared" si="2"/>
        <v>0</v>
      </c>
      <c r="AK19" s="6" t="str">
        <f t="shared" si="3"/>
        <v>0</v>
      </c>
      <c r="AL19" s="6">
        <f t="shared" si="4"/>
        <v>0</v>
      </c>
      <c r="AM19" s="241"/>
    </row>
    <row r="20" spans="1:39" s="7" customFormat="1" x14ac:dyDescent="0.25">
      <c r="A20" s="44">
        <f t="shared" si="8"/>
        <v>45976</v>
      </c>
      <c r="B20" s="45">
        <f t="shared" si="5"/>
        <v>45976</v>
      </c>
      <c r="C20" s="46" t="s">
        <v>23</v>
      </c>
      <c r="D20" s="9" t="s">
        <v>24</v>
      </c>
      <c r="E20" s="228"/>
      <c r="F20" s="229"/>
      <c r="G20" s="230"/>
      <c r="H20" s="231"/>
      <c r="I20" s="11">
        <f t="shared" si="6"/>
        <v>0</v>
      </c>
      <c r="J20" s="48">
        <f t="shared" si="0"/>
        <v>0</v>
      </c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232"/>
      <c r="W20" s="232"/>
      <c r="X20" s="232"/>
      <c r="Y20" s="232"/>
      <c r="Z20" s="21">
        <f t="shared" si="7"/>
        <v>0</v>
      </c>
      <c r="AA20" s="232"/>
      <c r="AB20" s="232"/>
      <c r="AC20" s="232"/>
      <c r="AD20" s="232"/>
      <c r="AE20" s="232"/>
      <c r="AF20" s="232"/>
      <c r="AG20" s="232"/>
      <c r="AH20" s="49">
        <f t="shared" si="9"/>
        <v>0</v>
      </c>
      <c r="AI20" s="6" t="str">
        <f t="shared" si="1"/>
        <v>0</v>
      </c>
      <c r="AJ20" s="6" t="str">
        <f t="shared" si="2"/>
        <v>0</v>
      </c>
      <c r="AK20" s="6" t="str">
        <f t="shared" si="3"/>
        <v>0</v>
      </c>
      <c r="AL20" s="6">
        <f t="shared" si="4"/>
        <v>0</v>
      </c>
      <c r="AM20" s="241"/>
    </row>
    <row r="21" spans="1:39" s="7" customFormat="1" x14ac:dyDescent="0.25">
      <c r="A21" s="44">
        <f t="shared" si="8"/>
        <v>45977</v>
      </c>
      <c r="B21" s="45">
        <f t="shared" si="5"/>
        <v>45977</v>
      </c>
      <c r="C21" s="46" t="s">
        <v>23</v>
      </c>
      <c r="D21" s="9" t="s">
        <v>24</v>
      </c>
      <c r="E21" s="228"/>
      <c r="F21" s="229"/>
      <c r="G21" s="230"/>
      <c r="H21" s="231"/>
      <c r="I21" s="11">
        <f t="shared" si="6"/>
        <v>0</v>
      </c>
      <c r="J21" s="48">
        <f t="shared" si="0"/>
        <v>0</v>
      </c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2"/>
      <c r="W21" s="232"/>
      <c r="X21" s="232"/>
      <c r="Y21" s="232"/>
      <c r="Z21" s="21">
        <f t="shared" si="7"/>
        <v>0</v>
      </c>
      <c r="AA21" s="232"/>
      <c r="AB21" s="232"/>
      <c r="AC21" s="232"/>
      <c r="AD21" s="232"/>
      <c r="AE21" s="232"/>
      <c r="AF21" s="232"/>
      <c r="AG21" s="232"/>
      <c r="AH21" s="49">
        <f t="shared" si="9"/>
        <v>0</v>
      </c>
      <c r="AI21" s="6" t="str">
        <f t="shared" si="1"/>
        <v>0</v>
      </c>
      <c r="AJ21" s="6" t="str">
        <f t="shared" si="2"/>
        <v>0</v>
      </c>
      <c r="AK21" s="6" t="str">
        <f t="shared" si="3"/>
        <v>0</v>
      </c>
      <c r="AL21" s="6">
        <f t="shared" si="4"/>
        <v>0</v>
      </c>
      <c r="AM21" s="241"/>
    </row>
    <row r="22" spans="1:39" s="7" customFormat="1" x14ac:dyDescent="0.25">
      <c r="A22" s="44">
        <f t="shared" si="8"/>
        <v>45978</v>
      </c>
      <c r="B22" s="45">
        <f t="shared" si="5"/>
        <v>45978</v>
      </c>
      <c r="C22" s="46" t="s">
        <v>23</v>
      </c>
      <c r="D22" s="9" t="s">
        <v>24</v>
      </c>
      <c r="E22" s="228"/>
      <c r="F22" s="229"/>
      <c r="G22" s="230"/>
      <c r="H22" s="231"/>
      <c r="I22" s="11">
        <f t="shared" si="6"/>
        <v>0</v>
      </c>
      <c r="J22" s="48">
        <f t="shared" si="0"/>
        <v>0</v>
      </c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2"/>
      <c r="W22" s="232"/>
      <c r="X22" s="232"/>
      <c r="Y22" s="232"/>
      <c r="Z22" s="21">
        <f t="shared" si="7"/>
        <v>0</v>
      </c>
      <c r="AA22" s="232"/>
      <c r="AB22" s="232"/>
      <c r="AC22" s="232"/>
      <c r="AD22" s="232"/>
      <c r="AE22" s="232"/>
      <c r="AF22" s="232"/>
      <c r="AG22" s="232"/>
      <c r="AH22" s="49">
        <f t="shared" si="9"/>
        <v>0</v>
      </c>
      <c r="AI22" s="6" t="str">
        <f t="shared" si="1"/>
        <v>0</v>
      </c>
      <c r="AJ22" s="6" t="str">
        <f t="shared" si="2"/>
        <v>0</v>
      </c>
      <c r="AK22" s="6" t="str">
        <f t="shared" si="3"/>
        <v>0</v>
      </c>
      <c r="AL22" s="6">
        <f t="shared" si="4"/>
        <v>0</v>
      </c>
      <c r="AM22" s="241"/>
    </row>
    <row r="23" spans="1:39" s="7" customFormat="1" x14ac:dyDescent="0.25">
      <c r="A23" s="44">
        <f t="shared" si="8"/>
        <v>45979</v>
      </c>
      <c r="B23" s="45">
        <f t="shared" si="5"/>
        <v>45979</v>
      </c>
      <c r="C23" s="46" t="s">
        <v>23</v>
      </c>
      <c r="D23" s="9" t="s">
        <v>24</v>
      </c>
      <c r="E23" s="228"/>
      <c r="F23" s="229"/>
      <c r="G23" s="230"/>
      <c r="H23" s="231"/>
      <c r="I23" s="11">
        <f t="shared" si="6"/>
        <v>0</v>
      </c>
      <c r="J23" s="48">
        <f t="shared" si="0"/>
        <v>0</v>
      </c>
      <c r="K23" s="232"/>
      <c r="L23" s="232"/>
      <c r="M23" s="232"/>
      <c r="N23" s="232"/>
      <c r="O23" s="232"/>
      <c r="P23" s="232"/>
      <c r="Q23" s="232"/>
      <c r="R23" s="232"/>
      <c r="S23" s="232"/>
      <c r="T23" s="232"/>
      <c r="U23" s="232"/>
      <c r="V23" s="232"/>
      <c r="W23" s="232"/>
      <c r="X23" s="232"/>
      <c r="Y23" s="232"/>
      <c r="Z23" s="21">
        <f t="shared" si="7"/>
        <v>0</v>
      </c>
      <c r="AA23" s="232"/>
      <c r="AB23" s="232"/>
      <c r="AC23" s="232"/>
      <c r="AD23" s="232"/>
      <c r="AE23" s="232"/>
      <c r="AF23" s="232"/>
      <c r="AG23" s="232"/>
      <c r="AH23" s="49">
        <f t="shared" si="9"/>
        <v>0</v>
      </c>
      <c r="AI23" s="6" t="str">
        <f t="shared" si="1"/>
        <v>0</v>
      </c>
      <c r="AJ23" s="6" t="str">
        <f t="shared" si="2"/>
        <v>0</v>
      </c>
      <c r="AK23" s="6" t="str">
        <f t="shared" si="3"/>
        <v>0</v>
      </c>
      <c r="AL23" s="6">
        <f t="shared" si="4"/>
        <v>0</v>
      </c>
      <c r="AM23" s="241"/>
    </row>
    <row r="24" spans="1:39" s="7" customFormat="1" x14ac:dyDescent="0.25">
      <c r="A24" s="44">
        <f t="shared" si="8"/>
        <v>45980</v>
      </c>
      <c r="B24" s="45">
        <f t="shared" si="5"/>
        <v>45980</v>
      </c>
      <c r="C24" s="46" t="s">
        <v>23</v>
      </c>
      <c r="D24" s="9" t="s">
        <v>24</v>
      </c>
      <c r="E24" s="228"/>
      <c r="F24" s="229"/>
      <c r="G24" s="230"/>
      <c r="H24" s="231"/>
      <c r="I24" s="11">
        <f t="shared" si="6"/>
        <v>0</v>
      </c>
      <c r="J24" s="48">
        <f t="shared" si="0"/>
        <v>0</v>
      </c>
      <c r="K24" s="232"/>
      <c r="L24" s="232"/>
      <c r="M24" s="232"/>
      <c r="N24" s="232"/>
      <c r="O24" s="232"/>
      <c r="P24" s="232"/>
      <c r="Q24" s="232"/>
      <c r="R24" s="232"/>
      <c r="S24" s="232"/>
      <c r="T24" s="232"/>
      <c r="U24" s="232"/>
      <c r="V24" s="232"/>
      <c r="W24" s="232"/>
      <c r="X24" s="232"/>
      <c r="Y24" s="232"/>
      <c r="Z24" s="21">
        <f t="shared" si="7"/>
        <v>0</v>
      </c>
      <c r="AA24" s="232"/>
      <c r="AB24" s="232"/>
      <c r="AC24" s="232"/>
      <c r="AD24" s="232"/>
      <c r="AE24" s="232"/>
      <c r="AF24" s="232"/>
      <c r="AG24" s="232"/>
      <c r="AH24" s="49">
        <f t="shared" si="9"/>
        <v>0</v>
      </c>
      <c r="AI24" s="6" t="str">
        <f t="shared" si="1"/>
        <v>0</v>
      </c>
      <c r="AJ24" s="6" t="str">
        <f t="shared" si="2"/>
        <v>0</v>
      </c>
      <c r="AK24" s="6" t="str">
        <f t="shared" si="3"/>
        <v>0</v>
      </c>
      <c r="AL24" s="6">
        <f t="shared" si="4"/>
        <v>0</v>
      </c>
      <c r="AM24" s="241"/>
    </row>
    <row r="25" spans="1:39" s="7" customFormat="1" x14ac:dyDescent="0.25">
      <c r="A25" s="44">
        <f t="shared" si="8"/>
        <v>45981</v>
      </c>
      <c r="B25" s="45">
        <f t="shared" si="5"/>
        <v>45981</v>
      </c>
      <c r="C25" s="46" t="s">
        <v>23</v>
      </c>
      <c r="D25" s="9" t="s">
        <v>24</v>
      </c>
      <c r="E25" s="228"/>
      <c r="F25" s="229"/>
      <c r="G25" s="230"/>
      <c r="H25" s="231"/>
      <c r="I25" s="11">
        <f t="shared" si="6"/>
        <v>0</v>
      </c>
      <c r="J25" s="48">
        <f t="shared" si="0"/>
        <v>0</v>
      </c>
      <c r="K25" s="232"/>
      <c r="L25" s="232"/>
      <c r="M25" s="232"/>
      <c r="N25" s="232"/>
      <c r="O25" s="232"/>
      <c r="P25" s="232"/>
      <c r="Q25" s="232"/>
      <c r="R25" s="232"/>
      <c r="S25" s="232"/>
      <c r="T25" s="232"/>
      <c r="U25" s="232"/>
      <c r="V25" s="232"/>
      <c r="W25" s="232"/>
      <c r="X25" s="232"/>
      <c r="Y25" s="232"/>
      <c r="Z25" s="21">
        <f t="shared" si="7"/>
        <v>0</v>
      </c>
      <c r="AA25" s="232"/>
      <c r="AB25" s="232"/>
      <c r="AC25" s="232"/>
      <c r="AD25" s="232"/>
      <c r="AE25" s="232"/>
      <c r="AF25" s="232"/>
      <c r="AG25" s="232"/>
      <c r="AH25" s="49">
        <f t="shared" si="9"/>
        <v>0</v>
      </c>
      <c r="AI25" s="6" t="str">
        <f t="shared" si="1"/>
        <v>0</v>
      </c>
      <c r="AJ25" s="6" t="str">
        <f t="shared" si="2"/>
        <v>0</v>
      </c>
      <c r="AK25" s="6" t="str">
        <f t="shared" si="3"/>
        <v>0</v>
      </c>
      <c r="AL25" s="6">
        <f t="shared" si="4"/>
        <v>0</v>
      </c>
      <c r="AM25" s="241"/>
    </row>
    <row r="26" spans="1:39" s="7" customFormat="1" x14ac:dyDescent="0.25">
      <c r="A26" s="44">
        <f t="shared" si="8"/>
        <v>45982</v>
      </c>
      <c r="B26" s="45">
        <f t="shared" si="5"/>
        <v>45982</v>
      </c>
      <c r="C26" s="46" t="s">
        <v>23</v>
      </c>
      <c r="D26" s="9" t="s">
        <v>24</v>
      </c>
      <c r="E26" s="228"/>
      <c r="F26" s="229"/>
      <c r="G26" s="230"/>
      <c r="H26" s="231"/>
      <c r="I26" s="11">
        <f t="shared" si="6"/>
        <v>0</v>
      </c>
      <c r="J26" s="48">
        <f t="shared" si="0"/>
        <v>0</v>
      </c>
      <c r="K26" s="232"/>
      <c r="L26" s="232"/>
      <c r="M26" s="232"/>
      <c r="N26" s="232"/>
      <c r="O26" s="232"/>
      <c r="P26" s="232"/>
      <c r="Q26" s="232"/>
      <c r="R26" s="232"/>
      <c r="S26" s="232"/>
      <c r="T26" s="232"/>
      <c r="U26" s="232"/>
      <c r="V26" s="232"/>
      <c r="W26" s="232"/>
      <c r="X26" s="232"/>
      <c r="Y26" s="232"/>
      <c r="Z26" s="21">
        <f t="shared" si="7"/>
        <v>0</v>
      </c>
      <c r="AA26" s="232"/>
      <c r="AB26" s="232"/>
      <c r="AC26" s="232"/>
      <c r="AD26" s="232"/>
      <c r="AE26" s="232"/>
      <c r="AF26" s="232"/>
      <c r="AG26" s="232"/>
      <c r="AH26" s="49">
        <f t="shared" si="9"/>
        <v>0</v>
      </c>
      <c r="AI26" s="6" t="str">
        <f t="shared" si="1"/>
        <v>0</v>
      </c>
      <c r="AJ26" s="6" t="str">
        <f t="shared" si="2"/>
        <v>0</v>
      </c>
      <c r="AK26" s="6" t="str">
        <f t="shared" si="3"/>
        <v>0</v>
      </c>
      <c r="AL26" s="6">
        <f t="shared" si="4"/>
        <v>0</v>
      </c>
      <c r="AM26" s="241"/>
    </row>
    <row r="27" spans="1:39" s="7" customFormat="1" x14ac:dyDescent="0.25">
      <c r="A27" s="44">
        <f t="shared" si="8"/>
        <v>45983</v>
      </c>
      <c r="B27" s="45">
        <f t="shared" si="5"/>
        <v>45983</v>
      </c>
      <c r="C27" s="46" t="s">
        <v>23</v>
      </c>
      <c r="D27" s="9" t="s">
        <v>24</v>
      </c>
      <c r="E27" s="228"/>
      <c r="F27" s="229"/>
      <c r="G27" s="230"/>
      <c r="H27" s="231"/>
      <c r="I27" s="11">
        <f t="shared" si="6"/>
        <v>0</v>
      </c>
      <c r="J27" s="48">
        <f t="shared" si="0"/>
        <v>0</v>
      </c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Y27" s="232"/>
      <c r="Z27" s="21">
        <f t="shared" si="7"/>
        <v>0</v>
      </c>
      <c r="AA27" s="232"/>
      <c r="AB27" s="232"/>
      <c r="AC27" s="232"/>
      <c r="AD27" s="232"/>
      <c r="AE27" s="232"/>
      <c r="AF27" s="232"/>
      <c r="AG27" s="232"/>
      <c r="AH27" s="49">
        <f t="shared" si="9"/>
        <v>0</v>
      </c>
      <c r="AI27" s="6" t="str">
        <f t="shared" si="1"/>
        <v>0</v>
      </c>
      <c r="AJ27" s="6" t="str">
        <f t="shared" si="2"/>
        <v>0</v>
      </c>
      <c r="AK27" s="6" t="str">
        <f t="shared" si="3"/>
        <v>0</v>
      </c>
      <c r="AL27" s="6">
        <f t="shared" si="4"/>
        <v>0</v>
      </c>
      <c r="AM27" s="241"/>
    </row>
    <row r="28" spans="1:39" s="7" customFormat="1" x14ac:dyDescent="0.25">
      <c r="A28" s="44">
        <f t="shared" si="8"/>
        <v>45984</v>
      </c>
      <c r="B28" s="45">
        <f t="shared" si="5"/>
        <v>45984</v>
      </c>
      <c r="C28" s="46" t="s">
        <v>23</v>
      </c>
      <c r="D28" s="9" t="s">
        <v>24</v>
      </c>
      <c r="E28" s="228"/>
      <c r="F28" s="229"/>
      <c r="G28" s="230"/>
      <c r="H28" s="231"/>
      <c r="I28" s="11">
        <f t="shared" si="6"/>
        <v>0</v>
      </c>
      <c r="J28" s="48">
        <f t="shared" si="0"/>
        <v>0</v>
      </c>
      <c r="K28" s="232"/>
      <c r="L28" s="232"/>
      <c r="M28" s="232"/>
      <c r="N28" s="232"/>
      <c r="O28" s="232"/>
      <c r="P28" s="232"/>
      <c r="Q28" s="232"/>
      <c r="R28" s="232"/>
      <c r="S28" s="232"/>
      <c r="T28" s="232"/>
      <c r="U28" s="232"/>
      <c r="V28" s="232"/>
      <c r="W28" s="232"/>
      <c r="X28" s="232"/>
      <c r="Y28" s="232"/>
      <c r="Z28" s="21">
        <f t="shared" si="7"/>
        <v>0</v>
      </c>
      <c r="AA28" s="232"/>
      <c r="AB28" s="232"/>
      <c r="AC28" s="232"/>
      <c r="AD28" s="232"/>
      <c r="AE28" s="232"/>
      <c r="AF28" s="232"/>
      <c r="AG28" s="232"/>
      <c r="AH28" s="49">
        <f t="shared" si="9"/>
        <v>0</v>
      </c>
      <c r="AI28" s="6" t="str">
        <f t="shared" si="1"/>
        <v>0</v>
      </c>
      <c r="AJ28" s="6" t="str">
        <f t="shared" si="2"/>
        <v>0</v>
      </c>
      <c r="AK28" s="6" t="str">
        <f t="shared" si="3"/>
        <v>0</v>
      </c>
      <c r="AL28" s="6">
        <f t="shared" si="4"/>
        <v>0</v>
      </c>
      <c r="AM28" s="241"/>
    </row>
    <row r="29" spans="1:39" s="7" customFormat="1" x14ac:dyDescent="0.25">
      <c r="A29" s="44">
        <f t="shared" si="8"/>
        <v>45985</v>
      </c>
      <c r="B29" s="45">
        <f t="shared" si="5"/>
        <v>45985</v>
      </c>
      <c r="C29" s="46" t="s">
        <v>23</v>
      </c>
      <c r="D29" s="9" t="s">
        <v>24</v>
      </c>
      <c r="E29" s="228"/>
      <c r="F29" s="229"/>
      <c r="G29" s="230"/>
      <c r="H29" s="231"/>
      <c r="I29" s="11">
        <f t="shared" si="6"/>
        <v>0</v>
      </c>
      <c r="J29" s="48">
        <f t="shared" si="0"/>
        <v>0</v>
      </c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X29" s="232"/>
      <c r="Y29" s="232"/>
      <c r="Z29" s="21">
        <f t="shared" si="7"/>
        <v>0</v>
      </c>
      <c r="AA29" s="232"/>
      <c r="AB29" s="232"/>
      <c r="AC29" s="232"/>
      <c r="AD29" s="232"/>
      <c r="AE29" s="232"/>
      <c r="AF29" s="232"/>
      <c r="AG29" s="232"/>
      <c r="AH29" s="49">
        <f t="shared" si="9"/>
        <v>0</v>
      </c>
      <c r="AI29" s="6" t="str">
        <f t="shared" si="1"/>
        <v>0</v>
      </c>
      <c r="AJ29" s="6" t="str">
        <f t="shared" si="2"/>
        <v>0</v>
      </c>
      <c r="AK29" s="6" t="str">
        <f t="shared" si="3"/>
        <v>0</v>
      </c>
      <c r="AL29" s="6">
        <f t="shared" si="4"/>
        <v>0</v>
      </c>
      <c r="AM29" s="241"/>
    </row>
    <row r="30" spans="1:39" s="7" customFormat="1" x14ac:dyDescent="0.25">
      <c r="A30" s="44">
        <f t="shared" si="8"/>
        <v>45986</v>
      </c>
      <c r="B30" s="45">
        <f t="shared" si="5"/>
        <v>45986</v>
      </c>
      <c r="C30" s="46" t="s">
        <v>23</v>
      </c>
      <c r="D30" s="9" t="s">
        <v>24</v>
      </c>
      <c r="E30" s="228"/>
      <c r="F30" s="229"/>
      <c r="G30" s="230"/>
      <c r="H30" s="231"/>
      <c r="I30" s="11">
        <f t="shared" si="6"/>
        <v>0</v>
      </c>
      <c r="J30" s="48">
        <f t="shared" si="0"/>
        <v>0</v>
      </c>
      <c r="K30" s="232"/>
      <c r="L30" s="232"/>
      <c r="M30" s="232"/>
      <c r="N30" s="232"/>
      <c r="O30" s="232"/>
      <c r="P30" s="232"/>
      <c r="Q30" s="232"/>
      <c r="R30" s="232"/>
      <c r="S30" s="232"/>
      <c r="T30" s="232"/>
      <c r="U30" s="232"/>
      <c r="V30" s="232"/>
      <c r="W30" s="232"/>
      <c r="X30" s="232"/>
      <c r="Y30" s="232"/>
      <c r="Z30" s="21">
        <f t="shared" si="7"/>
        <v>0</v>
      </c>
      <c r="AA30" s="232"/>
      <c r="AB30" s="232"/>
      <c r="AC30" s="232"/>
      <c r="AD30" s="232"/>
      <c r="AE30" s="232"/>
      <c r="AF30" s="232"/>
      <c r="AG30" s="232"/>
      <c r="AH30" s="49">
        <f t="shared" si="9"/>
        <v>0</v>
      </c>
      <c r="AI30" s="6" t="str">
        <f t="shared" si="1"/>
        <v>0</v>
      </c>
      <c r="AJ30" s="6" t="str">
        <f t="shared" si="2"/>
        <v>0</v>
      </c>
      <c r="AK30" s="6" t="str">
        <f t="shared" si="3"/>
        <v>0</v>
      </c>
      <c r="AL30" s="6">
        <f t="shared" si="4"/>
        <v>0</v>
      </c>
      <c r="AM30" s="241"/>
    </row>
    <row r="31" spans="1:39" s="7" customFormat="1" x14ac:dyDescent="0.25">
      <c r="A31" s="44">
        <f t="shared" si="8"/>
        <v>45987</v>
      </c>
      <c r="B31" s="45">
        <f t="shared" si="5"/>
        <v>45987</v>
      </c>
      <c r="C31" s="46" t="s">
        <v>23</v>
      </c>
      <c r="D31" s="9" t="s">
        <v>24</v>
      </c>
      <c r="E31" s="228"/>
      <c r="F31" s="229"/>
      <c r="G31" s="230"/>
      <c r="H31" s="231"/>
      <c r="I31" s="11">
        <f t="shared" si="6"/>
        <v>0</v>
      </c>
      <c r="J31" s="48">
        <f t="shared" si="0"/>
        <v>0</v>
      </c>
      <c r="K31" s="232"/>
      <c r="L31" s="232"/>
      <c r="M31" s="232"/>
      <c r="N31" s="232"/>
      <c r="O31" s="232"/>
      <c r="P31" s="232"/>
      <c r="Q31" s="232"/>
      <c r="R31" s="232"/>
      <c r="S31" s="232"/>
      <c r="T31" s="232"/>
      <c r="U31" s="232"/>
      <c r="V31" s="232"/>
      <c r="W31" s="232"/>
      <c r="X31" s="232"/>
      <c r="Y31" s="232"/>
      <c r="Z31" s="21">
        <f t="shared" si="7"/>
        <v>0</v>
      </c>
      <c r="AA31" s="232"/>
      <c r="AB31" s="232"/>
      <c r="AC31" s="232"/>
      <c r="AD31" s="232"/>
      <c r="AE31" s="232"/>
      <c r="AF31" s="232"/>
      <c r="AG31" s="232"/>
      <c r="AH31" s="49">
        <f t="shared" si="9"/>
        <v>0</v>
      </c>
      <c r="AI31" s="6" t="str">
        <f t="shared" si="1"/>
        <v>0</v>
      </c>
      <c r="AJ31" s="6" t="str">
        <f t="shared" si="2"/>
        <v>0</v>
      </c>
      <c r="AK31" s="6" t="str">
        <f t="shared" si="3"/>
        <v>0</v>
      </c>
      <c r="AL31" s="6">
        <f t="shared" si="4"/>
        <v>0</v>
      </c>
      <c r="AM31" s="241"/>
    </row>
    <row r="32" spans="1:39" s="7" customFormat="1" x14ac:dyDescent="0.25">
      <c r="A32" s="44">
        <f t="shared" si="8"/>
        <v>45988</v>
      </c>
      <c r="B32" s="45">
        <f t="shared" si="5"/>
        <v>45988</v>
      </c>
      <c r="C32" s="46" t="s">
        <v>23</v>
      </c>
      <c r="D32" s="9" t="s">
        <v>24</v>
      </c>
      <c r="E32" s="228">
        <v>400</v>
      </c>
      <c r="F32" s="229">
        <v>400</v>
      </c>
      <c r="G32" s="230"/>
      <c r="H32" s="231">
        <v>480</v>
      </c>
      <c r="I32" s="11">
        <f t="shared" si="6"/>
        <v>30</v>
      </c>
      <c r="J32" s="48">
        <f t="shared" si="0"/>
        <v>450</v>
      </c>
      <c r="K32" s="232"/>
      <c r="L32" s="232"/>
      <c r="M32" s="232"/>
      <c r="N32" s="232"/>
      <c r="O32" s="232"/>
      <c r="P32" s="232"/>
      <c r="Q32" s="232"/>
      <c r="R32" s="232"/>
      <c r="S32" s="232"/>
      <c r="T32" s="232"/>
      <c r="U32" s="232"/>
      <c r="V32" s="232"/>
      <c r="W32" s="232"/>
      <c r="X32" s="232"/>
      <c r="Y32" s="232"/>
      <c r="Z32" s="21">
        <f t="shared" si="7"/>
        <v>30</v>
      </c>
      <c r="AA32" s="232"/>
      <c r="AB32" s="232"/>
      <c r="AC32" s="232"/>
      <c r="AD32" s="232"/>
      <c r="AE32" s="232"/>
      <c r="AF32" s="232"/>
      <c r="AG32" s="232"/>
      <c r="AH32" s="49">
        <f t="shared" si="9"/>
        <v>30</v>
      </c>
      <c r="AI32" s="6">
        <f t="shared" si="1"/>
        <v>0.9375</v>
      </c>
      <c r="AJ32" s="6">
        <f t="shared" si="2"/>
        <v>1</v>
      </c>
      <c r="AK32" s="6">
        <f t="shared" si="3"/>
        <v>1</v>
      </c>
      <c r="AL32" s="6">
        <f t="shared" si="4"/>
        <v>0.9375</v>
      </c>
      <c r="AM32" s="241"/>
    </row>
    <row r="33" spans="1:39" s="7" customFormat="1" x14ac:dyDescent="0.25">
      <c r="A33" s="44">
        <f t="shared" si="8"/>
        <v>45989</v>
      </c>
      <c r="B33" s="45">
        <f t="shared" si="5"/>
        <v>45989</v>
      </c>
      <c r="C33" s="46" t="s">
        <v>23</v>
      </c>
      <c r="D33" s="9" t="s">
        <v>24</v>
      </c>
      <c r="E33" s="228">
        <v>400</v>
      </c>
      <c r="F33" s="229">
        <v>400</v>
      </c>
      <c r="G33" s="230"/>
      <c r="H33" s="231">
        <v>480</v>
      </c>
      <c r="I33" s="11">
        <f t="shared" si="6"/>
        <v>30</v>
      </c>
      <c r="J33" s="48">
        <f t="shared" si="0"/>
        <v>450</v>
      </c>
      <c r="K33" s="232"/>
      <c r="L33" s="232"/>
      <c r="M33" s="232"/>
      <c r="N33" s="232"/>
      <c r="O33" s="232"/>
      <c r="P33" s="232"/>
      <c r="Q33" s="232"/>
      <c r="R33" s="232"/>
      <c r="S33" s="232"/>
      <c r="T33" s="232"/>
      <c r="U33" s="232"/>
      <c r="V33" s="232"/>
      <c r="W33" s="232"/>
      <c r="X33" s="232"/>
      <c r="Y33" s="232"/>
      <c r="Z33" s="21">
        <f t="shared" si="7"/>
        <v>30</v>
      </c>
      <c r="AA33" s="232"/>
      <c r="AB33" s="232"/>
      <c r="AC33" s="232"/>
      <c r="AD33" s="232"/>
      <c r="AE33" s="232"/>
      <c r="AF33" s="232"/>
      <c r="AG33" s="232"/>
      <c r="AH33" s="49">
        <f t="shared" si="9"/>
        <v>30</v>
      </c>
      <c r="AI33" s="6">
        <f t="shared" si="1"/>
        <v>0.9375</v>
      </c>
      <c r="AJ33" s="6">
        <f t="shared" si="2"/>
        <v>1</v>
      </c>
      <c r="AK33" s="6">
        <f t="shared" si="3"/>
        <v>1</v>
      </c>
      <c r="AL33" s="6">
        <f t="shared" si="4"/>
        <v>0.9375</v>
      </c>
      <c r="AM33" s="241"/>
    </row>
    <row r="34" spans="1:39" s="7" customFormat="1" x14ac:dyDescent="0.25">
      <c r="A34" s="44">
        <f t="shared" si="8"/>
        <v>45990</v>
      </c>
      <c r="B34" s="45">
        <f t="shared" si="5"/>
        <v>45990</v>
      </c>
      <c r="C34" s="46" t="s">
        <v>23</v>
      </c>
      <c r="D34" s="9" t="s">
        <v>24</v>
      </c>
      <c r="E34" s="228">
        <v>400</v>
      </c>
      <c r="F34" s="229">
        <v>400</v>
      </c>
      <c r="G34" s="230"/>
      <c r="H34" s="231">
        <v>480</v>
      </c>
      <c r="I34" s="11">
        <f t="shared" si="6"/>
        <v>30</v>
      </c>
      <c r="J34" s="48">
        <f t="shared" si="0"/>
        <v>450</v>
      </c>
      <c r="K34" s="232"/>
      <c r="L34" s="232"/>
      <c r="M34" s="232"/>
      <c r="N34" s="232"/>
      <c r="O34" s="232"/>
      <c r="P34" s="232"/>
      <c r="Q34" s="232"/>
      <c r="R34" s="232"/>
      <c r="S34" s="232"/>
      <c r="T34" s="232"/>
      <c r="U34" s="232"/>
      <c r="V34" s="232"/>
      <c r="W34" s="232"/>
      <c r="X34" s="232"/>
      <c r="Y34" s="232"/>
      <c r="Z34" s="21">
        <f t="shared" si="7"/>
        <v>30</v>
      </c>
      <c r="AA34" s="232"/>
      <c r="AB34" s="232"/>
      <c r="AC34" s="232"/>
      <c r="AD34" s="232"/>
      <c r="AE34" s="232"/>
      <c r="AF34" s="232"/>
      <c r="AG34" s="232"/>
      <c r="AH34" s="49">
        <f t="shared" si="9"/>
        <v>30</v>
      </c>
      <c r="AI34" s="6">
        <f t="shared" si="1"/>
        <v>0.9375</v>
      </c>
      <c r="AJ34" s="6">
        <f t="shared" si="2"/>
        <v>1</v>
      </c>
      <c r="AK34" s="6">
        <f t="shared" si="3"/>
        <v>1</v>
      </c>
      <c r="AL34" s="6">
        <f t="shared" si="4"/>
        <v>0.9375</v>
      </c>
      <c r="AM34" s="241"/>
    </row>
    <row r="35" spans="1:39" s="7" customFormat="1" x14ac:dyDescent="0.25">
      <c r="A35" s="44">
        <f t="shared" si="8"/>
        <v>45991</v>
      </c>
      <c r="B35" s="45">
        <f t="shared" si="5"/>
        <v>45991</v>
      </c>
      <c r="C35" s="46" t="s">
        <v>23</v>
      </c>
      <c r="D35" s="9" t="s">
        <v>24</v>
      </c>
      <c r="E35" s="228">
        <v>300</v>
      </c>
      <c r="F35" s="229">
        <v>300</v>
      </c>
      <c r="G35" s="230"/>
      <c r="H35" s="231">
        <v>480</v>
      </c>
      <c r="I35" s="11">
        <f t="shared" si="6"/>
        <v>30</v>
      </c>
      <c r="J35" s="48">
        <f t="shared" si="0"/>
        <v>450</v>
      </c>
      <c r="K35" s="232"/>
      <c r="L35" s="232"/>
      <c r="M35" s="232"/>
      <c r="N35" s="232"/>
      <c r="O35" s="232"/>
      <c r="P35" s="232"/>
      <c r="Q35" s="232"/>
      <c r="R35" s="232"/>
      <c r="S35" s="232"/>
      <c r="T35" s="232"/>
      <c r="U35" s="232"/>
      <c r="V35" s="232"/>
      <c r="W35" s="232"/>
      <c r="X35" s="232"/>
      <c r="Y35" s="232"/>
      <c r="Z35" s="21">
        <f t="shared" si="7"/>
        <v>30</v>
      </c>
      <c r="AA35" s="232"/>
      <c r="AB35" s="232"/>
      <c r="AC35" s="232"/>
      <c r="AD35" s="232"/>
      <c r="AE35" s="232"/>
      <c r="AF35" s="232"/>
      <c r="AG35" s="232"/>
      <c r="AH35" s="49">
        <f t="shared" si="9"/>
        <v>30</v>
      </c>
      <c r="AI35" s="6">
        <f t="shared" si="1"/>
        <v>0.9375</v>
      </c>
      <c r="AJ35" s="6">
        <f t="shared" si="2"/>
        <v>1</v>
      </c>
      <c r="AK35" s="6">
        <f t="shared" si="3"/>
        <v>1</v>
      </c>
      <c r="AL35" s="6">
        <f t="shared" si="4"/>
        <v>0.9375</v>
      </c>
      <c r="AM35" s="241"/>
    </row>
    <row r="36" spans="1:39" s="7" customFormat="1" x14ac:dyDescent="0.25">
      <c r="A36" s="44">
        <f t="shared" si="8"/>
        <v>45992</v>
      </c>
      <c r="B36" s="45">
        <f t="shared" si="5"/>
        <v>45992</v>
      </c>
      <c r="C36" s="46" t="s">
        <v>23</v>
      </c>
      <c r="D36" s="9" t="s">
        <v>24</v>
      </c>
      <c r="E36" s="228">
        <v>386</v>
      </c>
      <c r="F36" s="229">
        <v>386</v>
      </c>
      <c r="G36" s="230"/>
      <c r="H36" s="231">
        <v>480</v>
      </c>
      <c r="I36" s="11">
        <f t="shared" si="6"/>
        <v>30</v>
      </c>
      <c r="J36" s="48">
        <f t="shared" si="0"/>
        <v>450</v>
      </c>
      <c r="K36" s="232"/>
      <c r="L36" s="232"/>
      <c r="M36" s="232"/>
      <c r="N36" s="232"/>
      <c r="O36" s="232"/>
      <c r="P36" s="232"/>
      <c r="Q36" s="232"/>
      <c r="R36" s="232"/>
      <c r="S36" s="232"/>
      <c r="T36" s="232"/>
      <c r="U36" s="232"/>
      <c r="V36" s="232"/>
      <c r="W36" s="232"/>
      <c r="X36" s="232"/>
      <c r="Y36" s="232"/>
      <c r="Z36" s="21">
        <f t="shared" si="7"/>
        <v>30</v>
      </c>
      <c r="AA36" s="232"/>
      <c r="AB36" s="232"/>
      <c r="AC36" s="232"/>
      <c r="AD36" s="232"/>
      <c r="AE36" s="232"/>
      <c r="AF36" s="232"/>
      <c r="AG36" s="232"/>
      <c r="AH36" s="49">
        <f t="shared" si="9"/>
        <v>30</v>
      </c>
      <c r="AI36" s="6">
        <f t="shared" si="1"/>
        <v>0.9375</v>
      </c>
      <c r="AJ36" s="6">
        <f t="shared" si="2"/>
        <v>1</v>
      </c>
      <c r="AK36" s="6">
        <f t="shared" si="3"/>
        <v>1</v>
      </c>
      <c r="AL36" s="6">
        <f t="shared" si="4"/>
        <v>0.9375</v>
      </c>
      <c r="AM36" s="241"/>
    </row>
    <row r="37" spans="1:39" s="12" customFormat="1" ht="14.25" x14ac:dyDescent="0.25">
      <c r="A37" s="313" t="s">
        <v>34</v>
      </c>
      <c r="B37" s="314"/>
      <c r="C37" s="314"/>
      <c r="D37" s="315"/>
      <c r="E37" s="23">
        <f>SUM(E6:E36)</f>
        <v>1886</v>
      </c>
      <c r="F37" s="23">
        <f>SUM(F6:F36)</f>
        <v>1886</v>
      </c>
      <c r="G37" s="23">
        <f>SUM(G6:G36)</f>
        <v>0</v>
      </c>
      <c r="H37" s="23">
        <f>SUM(H6:H36)</f>
        <v>2400</v>
      </c>
      <c r="I37" s="23">
        <f>SUM(I7:I36)</f>
        <v>150</v>
      </c>
      <c r="J37" s="280">
        <f t="shared" ref="J37:AG37" si="10">SUM(J6:J36)</f>
        <v>2250</v>
      </c>
      <c r="K37" s="23">
        <f t="shared" si="10"/>
        <v>0</v>
      </c>
      <c r="L37" s="23">
        <f t="shared" si="10"/>
        <v>0</v>
      </c>
      <c r="M37" s="23">
        <f t="shared" si="10"/>
        <v>0</v>
      </c>
      <c r="N37" s="23">
        <f t="shared" si="10"/>
        <v>0</v>
      </c>
      <c r="O37" s="23">
        <f t="shared" si="10"/>
        <v>0</v>
      </c>
      <c r="P37" s="23">
        <f t="shared" si="10"/>
        <v>0</v>
      </c>
      <c r="Q37" s="23">
        <f t="shared" si="10"/>
        <v>0</v>
      </c>
      <c r="R37" s="23">
        <f t="shared" si="10"/>
        <v>0</v>
      </c>
      <c r="S37" s="23">
        <f t="shared" si="10"/>
        <v>0</v>
      </c>
      <c r="T37" s="23">
        <f t="shared" si="10"/>
        <v>0</v>
      </c>
      <c r="U37" s="23">
        <f t="shared" si="10"/>
        <v>0</v>
      </c>
      <c r="V37" s="23">
        <f t="shared" si="10"/>
        <v>0</v>
      </c>
      <c r="W37" s="23">
        <f t="shared" si="10"/>
        <v>0</v>
      </c>
      <c r="X37" s="23">
        <f t="shared" si="10"/>
        <v>0</v>
      </c>
      <c r="Y37" s="23">
        <f t="shared" si="10"/>
        <v>0</v>
      </c>
      <c r="Z37" s="23">
        <f t="shared" si="10"/>
        <v>150</v>
      </c>
      <c r="AA37" s="23">
        <f t="shared" si="10"/>
        <v>0</v>
      </c>
      <c r="AB37" s="23">
        <f t="shared" si="10"/>
        <v>0</v>
      </c>
      <c r="AC37" s="23">
        <f t="shared" si="10"/>
        <v>0</v>
      </c>
      <c r="AD37" s="23">
        <f t="shared" si="10"/>
        <v>0</v>
      </c>
      <c r="AE37" s="23">
        <f t="shared" si="10"/>
        <v>0</v>
      </c>
      <c r="AF37" s="23">
        <f t="shared" si="10"/>
        <v>0</v>
      </c>
      <c r="AG37" s="23">
        <f t="shared" si="10"/>
        <v>0</v>
      </c>
      <c r="AH37" s="289">
        <f>SUM(AH6:AH36)</f>
        <v>150</v>
      </c>
      <c r="AI37" s="80">
        <f>IFERROR(J37/H37,0)</f>
        <v>0.9375</v>
      </c>
      <c r="AJ37" s="80">
        <f>IFERROR(F37/E37,0)</f>
        <v>1</v>
      </c>
      <c r="AK37" s="80">
        <f>IFERROR(F37/(F37+G37),0)</f>
        <v>1</v>
      </c>
      <c r="AL37" s="80">
        <f>IFERROR(AK37*AJ37*AI37,0)</f>
        <v>0.9375</v>
      </c>
      <c r="AM37" s="81"/>
    </row>
    <row r="41" spans="1:39" x14ac:dyDescent="0.25">
      <c r="AI41" s="15"/>
      <c r="AJ41" s="15"/>
      <c r="AK41" s="15"/>
    </row>
  </sheetData>
  <mergeCells count="5">
    <mergeCell ref="A1:AM1"/>
    <mergeCell ref="A2:AM2"/>
    <mergeCell ref="A37:D37"/>
    <mergeCell ref="A4:J4"/>
    <mergeCell ref="AH4:AM4"/>
  </mergeCells>
  <conditionalFormatting sqref="E6:H6">
    <cfRule type="expression" dxfId="20" priority="3">
      <formula>TEXT($A6,"ddd")="Fri"</formula>
    </cfRule>
  </conditionalFormatting>
  <conditionalFormatting sqref="J6:AM6 A6:D36 E7:AM36">
    <cfRule type="expression" dxfId="19" priority="1">
      <formula>TEXT($A6,"ddd")="Fri"</formula>
    </cfRule>
  </conditionalFormatting>
  <conditionalFormatting sqref="K6:AG36">
    <cfRule type="cellIs" dxfId="18" priority="2" operator="greaterThan">
      <formula>0</formula>
    </cfRule>
  </conditionalFormatting>
  <pageMargins left="0.1" right="0.25" top="0.53" bottom="0.03" header="0" footer="0"/>
  <pageSetup paperSize="9" scale="59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9C59F31-C4C9-42D8-AD73-6524566516C1}">
          <x14:formula1>
            <xm:f>'Fan Power Press &amp; Stamping'!#REF!</xm:f>
          </x14:formula1>
          <xm:sqref>AM3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EADBC-023C-4B36-B263-EDE0306CA8D4}">
  <sheetPr>
    <tabColor theme="6" tint="-0.499984740745262"/>
  </sheetPr>
  <dimension ref="A1:AY103"/>
  <sheetViews>
    <sheetView showGridLines="0" zoomScaleNormal="100" workbookViewId="0">
      <pane xSplit="3" ySplit="5" topLeftCell="D6" activePane="bottomRight" state="frozen"/>
      <selection pane="topRight" activeCell="D1" sqref="D1"/>
      <selection pane="bottomLeft" activeCell="A5" sqref="A5"/>
      <selection pane="bottomRight" activeCell="AL7" sqref="AL7"/>
    </sheetView>
  </sheetViews>
  <sheetFormatPr defaultColWidth="9.140625" defaultRowHeight="12.75" outlineLevelCol="1" x14ac:dyDescent="0.25"/>
  <cols>
    <col min="1" max="1" width="9.42578125" style="1" customWidth="1"/>
    <col min="2" max="2" width="4.85546875" style="1" bestFit="1" customWidth="1"/>
    <col min="3" max="3" width="8.42578125" style="13" bestFit="1" customWidth="1"/>
    <col min="4" max="4" width="17.85546875" style="303" bestFit="1" customWidth="1"/>
    <col min="5" max="6" width="7" style="1" bestFit="1" customWidth="1"/>
    <col min="7" max="7" width="4" style="1" bestFit="1" customWidth="1"/>
    <col min="8" max="8" width="6" style="1" bestFit="1" customWidth="1"/>
    <col min="9" max="9" width="5.28515625" style="1" bestFit="1" customWidth="1"/>
    <col min="10" max="10" width="6" style="1" bestFit="1" customWidth="1"/>
    <col min="11" max="12" width="3.140625" style="1" bestFit="1" customWidth="1" outlineLevel="1"/>
    <col min="13" max="13" width="6" style="1" bestFit="1" customWidth="1" outlineLevel="1"/>
    <col min="14" max="25" width="3.140625" style="1" bestFit="1" customWidth="1" outlineLevel="1"/>
    <col min="26" max="26" width="4.42578125" style="1" customWidth="1" outlineLevel="1"/>
    <col min="27" max="27" width="5.28515625" style="1" bestFit="1" customWidth="1" outlineLevel="1"/>
    <col min="28" max="33" width="3.140625" style="1" bestFit="1" customWidth="1" outlineLevel="1"/>
    <col min="34" max="34" width="6" style="14" bestFit="1" customWidth="1"/>
    <col min="35" max="36" width="5.140625" style="1" bestFit="1" customWidth="1"/>
    <col min="37" max="37" width="6.140625" style="1" bestFit="1" customWidth="1"/>
    <col min="38" max="38" width="5.140625" style="16" bestFit="1" customWidth="1"/>
    <col min="39" max="39" width="38.140625" style="28" bestFit="1" customWidth="1"/>
    <col min="40" max="50" width="9.140625" style="1" customWidth="1"/>
    <col min="51" max="51" width="8.5703125" style="1" bestFit="1" customWidth="1"/>
    <col min="52" max="16384" width="9.140625" style="1"/>
  </cols>
  <sheetData>
    <row r="1" spans="1:51" ht="25.5" x14ac:dyDescent="0.25">
      <c r="A1" s="316" t="s">
        <v>0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  <c r="AF1" s="317"/>
      <c r="AG1" s="317"/>
      <c r="AH1" s="317"/>
      <c r="AI1" s="317"/>
      <c r="AJ1" s="317"/>
      <c r="AK1" s="317"/>
      <c r="AL1" s="317"/>
      <c r="AM1" s="317"/>
    </row>
    <row r="2" spans="1:51" x14ac:dyDescent="0.25">
      <c r="A2" s="318" t="s">
        <v>1</v>
      </c>
      <c r="B2" s="319"/>
      <c r="C2" s="319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  <c r="AA2" s="319"/>
      <c r="AB2" s="319"/>
      <c r="AC2" s="319"/>
      <c r="AD2" s="319"/>
      <c r="AE2" s="319"/>
      <c r="AF2" s="319"/>
      <c r="AG2" s="319"/>
      <c r="AH2" s="319"/>
      <c r="AI2" s="319"/>
      <c r="AJ2" s="319"/>
      <c r="AK2" s="319"/>
      <c r="AL2" s="319"/>
      <c r="AM2" s="319"/>
    </row>
    <row r="3" spans="1:51" x14ac:dyDescent="0.25">
      <c r="A3" s="214" t="str">
        <f>"Fan Lathe ("&amp;TEXT('Fan Lathe'!AM3,"mmmm yyyy")&amp;")"</f>
        <v>Fan Lathe (January 2026)</v>
      </c>
      <c r="B3" s="215"/>
      <c r="C3" s="215"/>
      <c r="D3" s="302"/>
      <c r="E3" s="215"/>
      <c r="F3" s="295"/>
      <c r="G3" s="29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5"/>
      <c r="AD3" s="215"/>
      <c r="AE3" s="215"/>
      <c r="AF3" s="215"/>
      <c r="AG3" s="215"/>
      <c r="AH3" s="215"/>
      <c r="AI3" s="215"/>
      <c r="AJ3" s="215"/>
      <c r="AK3" s="215"/>
      <c r="AL3" s="215"/>
      <c r="AM3" s="216">
        <v>46023</v>
      </c>
      <c r="AN3" s="283">
        <v>46023</v>
      </c>
      <c r="AO3" s="283">
        <v>46054</v>
      </c>
      <c r="AP3" s="283">
        <v>46082</v>
      </c>
      <c r="AQ3" s="283">
        <v>46113</v>
      </c>
      <c r="AR3" s="283">
        <v>46143</v>
      </c>
      <c r="AS3" s="283">
        <v>46174</v>
      </c>
      <c r="AT3" s="283">
        <v>46204</v>
      </c>
      <c r="AU3" s="283">
        <v>46235</v>
      </c>
      <c r="AV3" s="283">
        <v>46266</v>
      </c>
      <c r="AW3" s="283">
        <v>46296</v>
      </c>
      <c r="AX3" s="283">
        <v>46327</v>
      </c>
      <c r="AY3" s="283">
        <v>46357</v>
      </c>
    </row>
    <row r="4" spans="1:51" ht="13.5" thickBot="1" x14ac:dyDescent="0.3">
      <c r="A4" s="4"/>
      <c r="B4" s="4"/>
      <c r="C4" s="4"/>
      <c r="D4" s="298"/>
      <c r="E4" s="4"/>
      <c r="F4" s="4"/>
      <c r="G4" s="4"/>
      <c r="H4" s="4"/>
      <c r="I4" s="4"/>
      <c r="J4" s="4"/>
      <c r="K4" s="4">
        <v>10</v>
      </c>
      <c r="L4" s="4">
        <v>11</v>
      </c>
      <c r="M4" s="4">
        <v>12</v>
      </c>
      <c r="N4" s="4">
        <v>13</v>
      </c>
      <c r="O4" s="4">
        <v>14</v>
      </c>
      <c r="P4" s="4">
        <v>15</v>
      </c>
      <c r="Q4" s="4">
        <v>16</v>
      </c>
      <c r="R4" s="4">
        <v>17</v>
      </c>
      <c r="S4" s="4">
        <v>18</v>
      </c>
      <c r="T4" s="4">
        <v>19</v>
      </c>
      <c r="U4" s="4">
        <v>20</v>
      </c>
      <c r="V4" s="4">
        <v>21</v>
      </c>
      <c r="W4" s="4">
        <v>22</v>
      </c>
      <c r="X4" s="4">
        <v>23</v>
      </c>
      <c r="Y4" s="4">
        <v>24</v>
      </c>
      <c r="Z4" s="4">
        <v>25</v>
      </c>
      <c r="AA4" s="4">
        <v>26</v>
      </c>
      <c r="AB4" s="4">
        <v>27</v>
      </c>
      <c r="AC4" s="4">
        <v>28</v>
      </c>
      <c r="AD4" s="4">
        <v>29</v>
      </c>
      <c r="AE4" s="4">
        <v>30</v>
      </c>
      <c r="AF4" s="4">
        <v>31</v>
      </c>
      <c r="AG4" s="4">
        <v>32</v>
      </c>
      <c r="AH4" s="4"/>
      <c r="AI4" s="4"/>
      <c r="AJ4" s="4"/>
      <c r="AK4" s="4"/>
      <c r="AL4" s="4"/>
      <c r="AM4" s="4"/>
    </row>
    <row r="5" spans="1:51" s="5" customFormat="1" ht="110.25" customHeight="1" thickBot="1" x14ac:dyDescent="0.3">
      <c r="A5" s="73" t="s">
        <v>2</v>
      </c>
      <c r="B5" s="74" t="s">
        <v>3</v>
      </c>
      <c r="C5" s="74" t="s">
        <v>4</v>
      </c>
      <c r="D5" s="74" t="s">
        <v>5</v>
      </c>
      <c r="E5" s="74" t="s">
        <v>46</v>
      </c>
      <c r="F5" s="74" t="s">
        <v>41</v>
      </c>
      <c r="G5" s="74" t="s">
        <v>6</v>
      </c>
      <c r="H5" s="74" t="s">
        <v>26</v>
      </c>
      <c r="I5" s="74" t="s">
        <v>42</v>
      </c>
      <c r="J5" s="75" t="s">
        <v>43</v>
      </c>
      <c r="K5" s="76" t="s">
        <v>28</v>
      </c>
      <c r="L5" s="30" t="s">
        <v>29</v>
      </c>
      <c r="M5" s="30" t="s">
        <v>27</v>
      </c>
      <c r="N5" s="30" t="s">
        <v>8</v>
      </c>
      <c r="O5" s="30" t="s">
        <v>38</v>
      </c>
      <c r="P5" s="30" t="s">
        <v>9</v>
      </c>
      <c r="Q5" s="30" t="s">
        <v>10</v>
      </c>
      <c r="R5" s="30" t="s">
        <v>11</v>
      </c>
      <c r="S5" s="30" t="s">
        <v>12</v>
      </c>
      <c r="T5" s="30" t="s">
        <v>13</v>
      </c>
      <c r="U5" s="30" t="s">
        <v>14</v>
      </c>
      <c r="V5" s="30" t="s">
        <v>30</v>
      </c>
      <c r="W5" s="30" t="s">
        <v>44</v>
      </c>
      <c r="X5" s="30" t="s">
        <v>25</v>
      </c>
      <c r="Y5" s="30" t="s">
        <v>31</v>
      </c>
      <c r="Z5" s="30" t="s">
        <v>32</v>
      </c>
      <c r="AA5" s="30" t="s">
        <v>15</v>
      </c>
      <c r="AB5" s="30" t="s">
        <v>16</v>
      </c>
      <c r="AC5" s="30" t="s">
        <v>33</v>
      </c>
      <c r="AD5" s="30" t="s">
        <v>36</v>
      </c>
      <c r="AE5" s="30" t="s">
        <v>40</v>
      </c>
      <c r="AF5" s="30" t="s">
        <v>37</v>
      </c>
      <c r="AG5" s="30" t="s">
        <v>39</v>
      </c>
      <c r="AH5" s="77" t="s">
        <v>17</v>
      </c>
      <c r="AI5" s="74" t="s">
        <v>18</v>
      </c>
      <c r="AJ5" s="74" t="s">
        <v>19</v>
      </c>
      <c r="AK5" s="74" t="s">
        <v>20</v>
      </c>
      <c r="AL5" s="78" t="s">
        <v>21</v>
      </c>
      <c r="AM5" s="79" t="s">
        <v>22</v>
      </c>
    </row>
    <row r="6" spans="1:51" s="7" customFormat="1" ht="12.75" customHeight="1" x14ac:dyDescent="0.2">
      <c r="A6" s="399">
        <f>AM3</f>
        <v>46023</v>
      </c>
      <c r="B6" s="402">
        <f>A6</f>
        <v>46023</v>
      </c>
      <c r="C6" s="50" t="s">
        <v>23</v>
      </c>
      <c r="D6" s="68" t="s">
        <v>65</v>
      </c>
      <c r="E6" s="284">
        <v>2000</v>
      </c>
      <c r="F6" s="284">
        <v>390</v>
      </c>
      <c r="G6" s="224">
        <v>0</v>
      </c>
      <c r="H6" s="225">
        <v>660</v>
      </c>
      <c r="I6" s="51">
        <f>IF(E6&lt;&gt;"",30,0)</f>
        <v>30</v>
      </c>
      <c r="J6" s="52">
        <f>H6-AH6</f>
        <v>129</v>
      </c>
      <c r="K6" s="226"/>
      <c r="L6" s="226"/>
      <c r="M6" s="226">
        <v>501</v>
      </c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>
        <v>30</v>
      </c>
      <c r="AA6" s="226"/>
      <c r="AB6" s="226"/>
      <c r="AC6" s="226"/>
      <c r="AD6" s="226"/>
      <c r="AE6" s="226"/>
      <c r="AF6" s="226"/>
      <c r="AG6" s="226"/>
      <c r="AH6" s="53">
        <f>SUM(K6:AG6)</f>
        <v>531</v>
      </c>
      <c r="AI6" s="39">
        <f>IFERROR(J6/H6,"0")</f>
        <v>0.19545454545454546</v>
      </c>
      <c r="AJ6" s="39">
        <f>IFERROR(F6/E6,"0")</f>
        <v>0.19500000000000001</v>
      </c>
      <c r="AK6" s="39">
        <f>IFERROR(F6/(F6+G6),"0")</f>
        <v>1</v>
      </c>
      <c r="AL6" s="39">
        <f>IFERROR(AK6*AJ6*AI6,"0")</f>
        <v>3.8113636363636363E-2</v>
      </c>
      <c r="AM6" s="227" t="s">
        <v>108</v>
      </c>
    </row>
    <row r="7" spans="1:51" s="7" customFormat="1" ht="12.75" customHeight="1" x14ac:dyDescent="0.2">
      <c r="A7" s="400"/>
      <c r="B7" s="403"/>
      <c r="C7" s="46" t="s">
        <v>23</v>
      </c>
      <c r="D7" s="71" t="s">
        <v>67</v>
      </c>
      <c r="E7" s="285">
        <v>3000</v>
      </c>
      <c r="F7" s="285">
        <v>2960</v>
      </c>
      <c r="G7" s="296">
        <v>7</v>
      </c>
      <c r="H7" s="231">
        <v>660</v>
      </c>
      <c r="I7" s="47">
        <f>IF(E7&lt;&gt;"",30,0)</f>
        <v>30</v>
      </c>
      <c r="J7" s="48">
        <f>H7-AH7</f>
        <v>651</v>
      </c>
      <c r="K7" s="232"/>
      <c r="L7" s="232"/>
      <c r="M7" s="232">
        <v>9</v>
      </c>
      <c r="N7" s="232"/>
      <c r="O7" s="232"/>
      <c r="P7" s="232"/>
      <c r="Q7" s="232"/>
      <c r="R7" s="232"/>
      <c r="S7" s="232"/>
      <c r="T7" s="232"/>
      <c r="U7" s="232"/>
      <c r="V7" s="232"/>
      <c r="W7" s="232"/>
      <c r="X7" s="232"/>
      <c r="Y7" s="232"/>
      <c r="Z7" s="232">
        <v>0</v>
      </c>
      <c r="AA7" s="232"/>
      <c r="AB7" s="232"/>
      <c r="AC7" s="232"/>
      <c r="AD7" s="232"/>
      <c r="AE7" s="232"/>
      <c r="AF7" s="232"/>
      <c r="AG7" s="232"/>
      <c r="AH7" s="49">
        <f>SUM(K7:AG7)</f>
        <v>9</v>
      </c>
      <c r="AI7" s="6">
        <f>IFERROR(J7/H7,"0")</f>
        <v>0.98636363636363633</v>
      </c>
      <c r="AJ7" s="6">
        <f>IFERROR(F7/E7,"0")</f>
        <v>0.98666666666666669</v>
      </c>
      <c r="AK7" s="6">
        <f>IFERROR(F7/(F7+G7),"0")</f>
        <v>0.99764071452645775</v>
      </c>
      <c r="AL7" s="6">
        <f>IFERROR(AK7*AJ7*AI7,"0")</f>
        <v>0.97091603599187026</v>
      </c>
      <c r="AM7" s="233"/>
    </row>
    <row r="8" spans="1:51" s="7" customFormat="1" ht="12.75" customHeight="1" thickBot="1" x14ac:dyDescent="0.25">
      <c r="A8" s="401"/>
      <c r="B8" s="404"/>
      <c r="C8" s="54" t="s">
        <v>23</v>
      </c>
      <c r="D8" s="72" t="s">
        <v>66</v>
      </c>
      <c r="E8" s="286">
        <v>3000</v>
      </c>
      <c r="F8" s="286">
        <v>1810</v>
      </c>
      <c r="G8" s="297">
        <v>5</v>
      </c>
      <c r="H8" s="237">
        <v>660</v>
      </c>
      <c r="I8" s="279">
        <f t="shared" ref="I8:I71" si="0">IF(E8&lt;&gt;"",30,0)</f>
        <v>30</v>
      </c>
      <c r="J8" s="56">
        <f>H8-AH8</f>
        <v>298</v>
      </c>
      <c r="K8" s="238"/>
      <c r="L8" s="238"/>
      <c r="M8" s="238">
        <v>332</v>
      </c>
      <c r="N8" s="238"/>
      <c r="O8" s="238"/>
      <c r="P8" s="238"/>
      <c r="Q8" s="238"/>
      <c r="R8" s="238"/>
      <c r="S8" s="238"/>
      <c r="T8" s="238"/>
      <c r="U8" s="238"/>
      <c r="V8" s="238"/>
      <c r="W8" s="238"/>
      <c r="X8" s="238"/>
      <c r="Y8" s="238"/>
      <c r="Z8" s="238">
        <v>30</v>
      </c>
      <c r="AA8" s="238"/>
      <c r="AB8" s="238"/>
      <c r="AC8" s="238"/>
      <c r="AD8" s="238"/>
      <c r="AE8" s="238"/>
      <c r="AF8" s="238"/>
      <c r="AG8" s="238"/>
      <c r="AH8" s="57">
        <f>SUM(K8:AG8)</f>
        <v>362</v>
      </c>
      <c r="AI8" s="41">
        <f>IFERROR(J8/H8,"0")</f>
        <v>0.45151515151515154</v>
      </c>
      <c r="AJ8" s="41">
        <f>IFERROR(F8/E8,"0")</f>
        <v>0.60333333333333339</v>
      </c>
      <c r="AK8" s="41">
        <f>IFERROR(F8/(F8+G8),"0")</f>
        <v>0.99724517906336085</v>
      </c>
      <c r="AL8" s="41">
        <f>IFERROR(AK8*AJ8*AI8,"0")</f>
        <v>0.27166368923393719</v>
      </c>
      <c r="AM8" s="239" t="s">
        <v>109</v>
      </c>
    </row>
    <row r="9" spans="1:51" s="7" customFormat="1" ht="12.75" customHeight="1" thickBot="1" x14ac:dyDescent="0.25">
      <c r="A9" s="399">
        <f>A6+1</f>
        <v>46024</v>
      </c>
      <c r="B9" s="402">
        <f>A9</f>
        <v>46024</v>
      </c>
      <c r="C9" s="50" t="s">
        <v>23</v>
      </c>
      <c r="D9" s="68" t="s">
        <v>65</v>
      </c>
      <c r="E9" s="284">
        <v>1450</v>
      </c>
      <c r="F9" s="284">
        <v>1000</v>
      </c>
      <c r="G9" s="297">
        <v>0</v>
      </c>
      <c r="H9" s="225">
        <v>480</v>
      </c>
      <c r="I9" s="51">
        <f t="shared" si="0"/>
        <v>30</v>
      </c>
      <c r="J9" s="52">
        <f>H9-AH9</f>
        <v>331</v>
      </c>
      <c r="K9" s="226"/>
      <c r="L9" s="226"/>
      <c r="M9" s="226">
        <v>119</v>
      </c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>
        <v>30</v>
      </c>
      <c r="AA9" s="226"/>
      <c r="AB9" s="226"/>
      <c r="AC9" s="226"/>
      <c r="AD9" s="226"/>
      <c r="AE9" s="226"/>
      <c r="AF9" s="226"/>
      <c r="AG9" s="226"/>
      <c r="AH9" s="53">
        <f t="shared" ref="AH9:AH11" si="1">SUM(K9:AG9)</f>
        <v>149</v>
      </c>
      <c r="AI9" s="39">
        <f>IFERROR(J9/H9,"0")</f>
        <v>0.68958333333333333</v>
      </c>
      <c r="AJ9" s="39">
        <f>IFERROR(F9/E9,"0")</f>
        <v>0.68965517241379315</v>
      </c>
      <c r="AK9" s="39">
        <f t="shared" ref="AK9:AK72" si="2">IFERROR(F9/(F9+G9),"0")</f>
        <v>1</v>
      </c>
      <c r="AL9" s="39">
        <f t="shared" ref="AL9:AL72" si="3">IFERROR(AK9*AJ9*AI9,"0")</f>
        <v>0.47557471264367818</v>
      </c>
      <c r="AM9" s="239" t="s">
        <v>110</v>
      </c>
    </row>
    <row r="10" spans="1:51" s="7" customFormat="1" ht="12.75" customHeight="1" x14ac:dyDescent="0.2">
      <c r="A10" s="400"/>
      <c r="B10" s="403"/>
      <c r="C10" s="46" t="s">
        <v>23</v>
      </c>
      <c r="D10" s="71" t="s">
        <v>67</v>
      </c>
      <c r="E10" s="285">
        <v>2200</v>
      </c>
      <c r="F10" s="285">
        <v>1504</v>
      </c>
      <c r="G10" s="296">
        <v>8</v>
      </c>
      <c r="H10" s="231">
        <v>480</v>
      </c>
      <c r="I10" s="47">
        <f t="shared" si="0"/>
        <v>30</v>
      </c>
      <c r="J10" s="48">
        <f t="shared" ref="J10:J73" si="4">H10-AH10</f>
        <v>328</v>
      </c>
      <c r="K10" s="232"/>
      <c r="L10" s="232"/>
      <c r="M10" s="232">
        <v>122</v>
      </c>
      <c r="N10" s="232"/>
      <c r="O10" s="232"/>
      <c r="P10" s="232"/>
      <c r="Q10" s="232"/>
      <c r="R10" s="232"/>
      <c r="S10" s="232"/>
      <c r="T10" s="232"/>
      <c r="U10" s="232"/>
      <c r="V10" s="232"/>
      <c r="W10" s="232"/>
      <c r="X10" s="232"/>
      <c r="Y10" s="232"/>
      <c r="Z10" s="232">
        <v>30</v>
      </c>
      <c r="AA10" s="232"/>
      <c r="AB10" s="232"/>
      <c r="AC10" s="232"/>
      <c r="AD10" s="232"/>
      <c r="AE10" s="232"/>
      <c r="AF10" s="232"/>
      <c r="AG10" s="232"/>
      <c r="AH10" s="49">
        <f t="shared" si="1"/>
        <v>152</v>
      </c>
      <c r="AI10" s="6">
        <f t="shared" ref="AI10:AI73" si="5">IFERROR(J10/H10,"0")</f>
        <v>0.68333333333333335</v>
      </c>
      <c r="AJ10" s="6">
        <f t="shared" ref="AJ10:AJ73" si="6">IFERROR(F10/E10,"0")</f>
        <v>0.6836363636363636</v>
      </c>
      <c r="AK10" s="6">
        <f t="shared" si="2"/>
        <v>0.99470899470899465</v>
      </c>
      <c r="AL10" s="6">
        <f t="shared" si="3"/>
        <v>0.46467981401314734</v>
      </c>
      <c r="AM10" s="233"/>
    </row>
    <row r="11" spans="1:51" s="7" customFormat="1" ht="12.75" customHeight="1" thickBot="1" x14ac:dyDescent="0.25">
      <c r="A11" s="401"/>
      <c r="B11" s="404"/>
      <c r="C11" s="54" t="s">
        <v>23</v>
      </c>
      <c r="D11" s="72" t="s">
        <v>66</v>
      </c>
      <c r="E11" s="286">
        <v>2200</v>
      </c>
      <c r="F11" s="286">
        <v>500</v>
      </c>
      <c r="G11" s="297">
        <v>1</v>
      </c>
      <c r="H11" s="237">
        <v>480</v>
      </c>
      <c r="I11" s="279">
        <f t="shared" si="0"/>
        <v>30</v>
      </c>
      <c r="J11" s="56">
        <f t="shared" si="4"/>
        <v>109</v>
      </c>
      <c r="K11" s="238"/>
      <c r="L11" s="238"/>
      <c r="M11" s="238">
        <v>341</v>
      </c>
      <c r="N11" s="238"/>
      <c r="O11" s="238"/>
      <c r="P11" s="238"/>
      <c r="Q11" s="238"/>
      <c r="R11" s="238"/>
      <c r="S11" s="238"/>
      <c r="T11" s="238"/>
      <c r="U11" s="238"/>
      <c r="V11" s="238"/>
      <c r="W11" s="238"/>
      <c r="X11" s="238"/>
      <c r="Y11" s="238"/>
      <c r="Z11" s="238">
        <v>30</v>
      </c>
      <c r="AA11" s="238"/>
      <c r="AB11" s="238"/>
      <c r="AC11" s="238"/>
      <c r="AD11" s="238"/>
      <c r="AE11" s="238"/>
      <c r="AF11" s="238"/>
      <c r="AG11" s="238"/>
      <c r="AH11" s="57">
        <f t="shared" si="1"/>
        <v>371</v>
      </c>
      <c r="AI11" s="41">
        <f t="shared" si="5"/>
        <v>0.22708333333333333</v>
      </c>
      <c r="AJ11" s="41">
        <f t="shared" si="6"/>
        <v>0.22727272727272727</v>
      </c>
      <c r="AK11" s="41">
        <f t="shared" si="2"/>
        <v>0.99800399201596801</v>
      </c>
      <c r="AL11" s="41">
        <f t="shared" si="3"/>
        <v>5.1506834815218047E-2</v>
      </c>
      <c r="AM11" s="239" t="s">
        <v>109</v>
      </c>
    </row>
    <row r="12" spans="1:51" s="7" customFormat="1" ht="12.75" customHeight="1" x14ac:dyDescent="0.2">
      <c r="A12" s="399">
        <f t="shared" ref="A12" si="7">A9+1</f>
        <v>46025</v>
      </c>
      <c r="B12" s="402">
        <f t="shared" ref="B12" si="8">A12</f>
        <v>46025</v>
      </c>
      <c r="C12" s="50" t="s">
        <v>23</v>
      </c>
      <c r="D12" s="68" t="s">
        <v>65</v>
      </c>
      <c r="E12" s="284">
        <v>2000</v>
      </c>
      <c r="F12" s="284">
        <v>1720</v>
      </c>
      <c r="G12" s="224">
        <v>0</v>
      </c>
      <c r="H12" s="225">
        <v>660</v>
      </c>
      <c r="I12" s="51">
        <f t="shared" si="0"/>
        <v>30</v>
      </c>
      <c r="J12" s="52">
        <f t="shared" si="4"/>
        <v>568</v>
      </c>
      <c r="K12" s="226"/>
      <c r="L12" s="226"/>
      <c r="M12" s="226">
        <v>62</v>
      </c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>
        <v>30</v>
      </c>
      <c r="AA12" s="226"/>
      <c r="AB12" s="226"/>
      <c r="AC12" s="226"/>
      <c r="AD12" s="226"/>
      <c r="AE12" s="226"/>
      <c r="AF12" s="226"/>
      <c r="AG12" s="226"/>
      <c r="AH12" s="53">
        <f t="shared" ref="AH12:AH75" si="9">SUM(K12:AG12)</f>
        <v>92</v>
      </c>
      <c r="AI12" s="39">
        <f t="shared" si="5"/>
        <v>0.8606060606060606</v>
      </c>
      <c r="AJ12" s="39">
        <f t="shared" si="6"/>
        <v>0.86</v>
      </c>
      <c r="AK12" s="39">
        <f t="shared" si="2"/>
        <v>1</v>
      </c>
      <c r="AL12" s="39">
        <f t="shared" si="3"/>
        <v>0.74012121212121207</v>
      </c>
      <c r="AM12" s="227"/>
    </row>
    <row r="13" spans="1:51" s="7" customFormat="1" ht="12.75" customHeight="1" thickBot="1" x14ac:dyDescent="0.25">
      <c r="A13" s="400"/>
      <c r="B13" s="403"/>
      <c r="C13" s="46" t="s">
        <v>23</v>
      </c>
      <c r="D13" s="71" t="s">
        <v>67</v>
      </c>
      <c r="E13" s="285">
        <v>3000</v>
      </c>
      <c r="F13" s="285">
        <v>1700</v>
      </c>
      <c r="G13" s="296">
        <v>21</v>
      </c>
      <c r="H13" s="231">
        <v>660</v>
      </c>
      <c r="I13" s="47">
        <f t="shared" si="0"/>
        <v>30</v>
      </c>
      <c r="J13" s="48">
        <f t="shared" si="4"/>
        <v>374</v>
      </c>
      <c r="K13" s="232"/>
      <c r="L13" s="232"/>
      <c r="M13" s="232">
        <v>256</v>
      </c>
      <c r="N13" s="232"/>
      <c r="O13" s="232"/>
      <c r="P13" s="232"/>
      <c r="Q13" s="232"/>
      <c r="R13" s="232"/>
      <c r="S13" s="232"/>
      <c r="T13" s="232"/>
      <c r="U13" s="232"/>
      <c r="V13" s="232"/>
      <c r="W13" s="232"/>
      <c r="X13" s="232"/>
      <c r="Y13" s="232"/>
      <c r="Z13" s="232">
        <v>30</v>
      </c>
      <c r="AA13" s="232"/>
      <c r="AB13" s="232"/>
      <c r="AC13" s="232"/>
      <c r="AD13" s="232"/>
      <c r="AE13" s="232"/>
      <c r="AF13" s="232"/>
      <c r="AG13" s="232"/>
      <c r="AH13" s="49">
        <f t="shared" si="9"/>
        <v>286</v>
      </c>
      <c r="AI13" s="6">
        <f t="shared" si="5"/>
        <v>0.56666666666666665</v>
      </c>
      <c r="AJ13" s="6">
        <f t="shared" si="6"/>
        <v>0.56666666666666665</v>
      </c>
      <c r="AK13" s="6">
        <f t="shared" si="2"/>
        <v>0.98779779198140616</v>
      </c>
      <c r="AL13" s="6">
        <f t="shared" si="3"/>
        <v>0.31719284653625152</v>
      </c>
      <c r="AM13" s="239" t="s">
        <v>109</v>
      </c>
    </row>
    <row r="14" spans="1:51" s="7" customFormat="1" ht="12.75" customHeight="1" thickBot="1" x14ac:dyDescent="0.25">
      <c r="A14" s="401"/>
      <c r="B14" s="404"/>
      <c r="C14" s="54" t="s">
        <v>23</v>
      </c>
      <c r="D14" s="72" t="s">
        <v>66</v>
      </c>
      <c r="E14" s="286">
        <v>3000</v>
      </c>
      <c r="F14" s="286">
        <v>1900</v>
      </c>
      <c r="G14" s="297">
        <v>19</v>
      </c>
      <c r="H14" s="237">
        <v>660</v>
      </c>
      <c r="I14" s="279">
        <f t="shared" si="0"/>
        <v>30</v>
      </c>
      <c r="J14" s="56">
        <f t="shared" si="4"/>
        <v>418</v>
      </c>
      <c r="K14" s="238"/>
      <c r="L14" s="238"/>
      <c r="M14" s="238">
        <v>212</v>
      </c>
      <c r="N14" s="238"/>
      <c r="O14" s="238"/>
      <c r="P14" s="238"/>
      <c r="Q14" s="238"/>
      <c r="R14" s="238"/>
      <c r="S14" s="238"/>
      <c r="T14" s="238"/>
      <c r="U14" s="238"/>
      <c r="V14" s="238"/>
      <c r="W14" s="238"/>
      <c r="X14" s="238"/>
      <c r="Y14" s="238"/>
      <c r="Z14" s="238">
        <v>30</v>
      </c>
      <c r="AA14" s="238"/>
      <c r="AB14" s="238"/>
      <c r="AC14" s="238"/>
      <c r="AD14" s="238"/>
      <c r="AE14" s="238"/>
      <c r="AF14" s="238"/>
      <c r="AG14" s="238"/>
      <c r="AH14" s="57">
        <f t="shared" si="9"/>
        <v>242</v>
      </c>
      <c r="AI14" s="41">
        <f t="shared" si="5"/>
        <v>0.6333333333333333</v>
      </c>
      <c r="AJ14" s="41">
        <f t="shared" si="6"/>
        <v>0.6333333333333333</v>
      </c>
      <c r="AK14" s="41">
        <f t="shared" si="2"/>
        <v>0.99009900990099009</v>
      </c>
      <c r="AL14" s="41">
        <f t="shared" si="3"/>
        <v>0.39713971397139708</v>
      </c>
      <c r="AM14" s="239" t="s">
        <v>109</v>
      </c>
    </row>
    <row r="15" spans="1:51" s="7" customFormat="1" ht="12.75" customHeight="1" thickBot="1" x14ac:dyDescent="0.25">
      <c r="A15" s="399">
        <f t="shared" ref="A15" si="10">A12+1</f>
        <v>46026</v>
      </c>
      <c r="B15" s="402">
        <f t="shared" ref="B15" si="11">A15</f>
        <v>46026</v>
      </c>
      <c r="C15" s="50" t="s">
        <v>23</v>
      </c>
      <c r="D15" s="68" t="s">
        <v>65</v>
      </c>
      <c r="E15" s="284">
        <v>2000</v>
      </c>
      <c r="F15" s="284">
        <v>1650</v>
      </c>
      <c r="G15" s="224">
        <v>0</v>
      </c>
      <c r="H15" s="225">
        <v>660</v>
      </c>
      <c r="I15" s="51">
        <f t="shared" si="0"/>
        <v>30</v>
      </c>
      <c r="J15" s="52">
        <f t="shared" si="4"/>
        <v>544</v>
      </c>
      <c r="K15" s="226"/>
      <c r="L15" s="226"/>
      <c r="M15" s="226">
        <v>86</v>
      </c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6"/>
      <c r="Z15" s="226">
        <v>30</v>
      </c>
      <c r="AA15" s="226"/>
      <c r="AB15" s="226"/>
      <c r="AC15" s="226"/>
      <c r="AD15" s="226"/>
      <c r="AE15" s="226"/>
      <c r="AF15" s="226"/>
      <c r="AG15" s="226"/>
      <c r="AH15" s="53">
        <f t="shared" si="9"/>
        <v>116</v>
      </c>
      <c r="AI15" s="39">
        <f t="shared" si="5"/>
        <v>0.82424242424242422</v>
      </c>
      <c r="AJ15" s="39">
        <f t="shared" si="6"/>
        <v>0.82499999999999996</v>
      </c>
      <c r="AK15" s="39">
        <f t="shared" si="2"/>
        <v>1</v>
      </c>
      <c r="AL15" s="39">
        <f t="shared" si="3"/>
        <v>0.67999999999999994</v>
      </c>
      <c r="AM15" s="239" t="s">
        <v>110</v>
      </c>
    </row>
    <row r="16" spans="1:51" s="7" customFormat="1" ht="12.75" customHeight="1" thickBot="1" x14ac:dyDescent="0.25">
      <c r="A16" s="400"/>
      <c r="B16" s="403"/>
      <c r="C16" s="46" t="s">
        <v>23</v>
      </c>
      <c r="D16" s="71" t="s">
        <v>67</v>
      </c>
      <c r="E16" s="285">
        <v>3000</v>
      </c>
      <c r="F16" s="285">
        <v>1630</v>
      </c>
      <c r="G16" s="296">
        <v>28</v>
      </c>
      <c r="H16" s="231">
        <v>660</v>
      </c>
      <c r="I16" s="47">
        <f t="shared" si="0"/>
        <v>30</v>
      </c>
      <c r="J16" s="48">
        <f t="shared" si="4"/>
        <v>361</v>
      </c>
      <c r="K16" s="232"/>
      <c r="L16" s="232"/>
      <c r="M16" s="232">
        <v>269</v>
      </c>
      <c r="N16" s="232"/>
      <c r="O16" s="232"/>
      <c r="P16" s="232"/>
      <c r="Q16" s="232"/>
      <c r="R16" s="232"/>
      <c r="S16" s="232"/>
      <c r="T16" s="232"/>
      <c r="U16" s="232"/>
      <c r="V16" s="232"/>
      <c r="W16" s="232"/>
      <c r="X16" s="232"/>
      <c r="Y16" s="232"/>
      <c r="Z16" s="232">
        <v>30</v>
      </c>
      <c r="AA16" s="232"/>
      <c r="AB16" s="232"/>
      <c r="AC16" s="232"/>
      <c r="AD16" s="232"/>
      <c r="AE16" s="232"/>
      <c r="AF16" s="232"/>
      <c r="AG16" s="232"/>
      <c r="AH16" s="49">
        <f t="shared" si="9"/>
        <v>299</v>
      </c>
      <c r="AI16" s="6">
        <f t="shared" si="5"/>
        <v>0.54696969696969699</v>
      </c>
      <c r="AJ16" s="6">
        <f t="shared" si="6"/>
        <v>0.54333333333333333</v>
      </c>
      <c r="AK16" s="6">
        <f t="shared" si="2"/>
        <v>0.98311218335343786</v>
      </c>
      <c r="AL16" s="6">
        <f t="shared" si="3"/>
        <v>0.29216803133871894</v>
      </c>
      <c r="AM16" s="239"/>
    </row>
    <row r="17" spans="1:39" s="7" customFormat="1" ht="12.75" customHeight="1" thickBot="1" x14ac:dyDescent="0.25">
      <c r="A17" s="401"/>
      <c r="B17" s="404"/>
      <c r="C17" s="54" t="s">
        <v>23</v>
      </c>
      <c r="D17" s="72" t="s">
        <v>66</v>
      </c>
      <c r="E17" s="286">
        <v>3000</v>
      </c>
      <c r="F17" s="286">
        <v>1168</v>
      </c>
      <c r="G17" s="297">
        <v>5</v>
      </c>
      <c r="H17" s="237">
        <v>660</v>
      </c>
      <c r="I17" s="279">
        <f t="shared" si="0"/>
        <v>30</v>
      </c>
      <c r="J17" s="56">
        <f t="shared" si="4"/>
        <v>243</v>
      </c>
      <c r="K17" s="238"/>
      <c r="L17" s="238"/>
      <c r="M17" s="238">
        <v>387</v>
      </c>
      <c r="N17" s="238"/>
      <c r="O17" s="238"/>
      <c r="P17" s="238"/>
      <c r="Q17" s="238"/>
      <c r="R17" s="238"/>
      <c r="S17" s="238"/>
      <c r="T17" s="238"/>
      <c r="U17" s="238"/>
      <c r="V17" s="238"/>
      <c r="W17" s="238"/>
      <c r="X17" s="238"/>
      <c r="Y17" s="238"/>
      <c r="Z17" s="238">
        <v>30</v>
      </c>
      <c r="AA17" s="238"/>
      <c r="AB17" s="238"/>
      <c r="AC17" s="238"/>
      <c r="AD17" s="238"/>
      <c r="AE17" s="238"/>
      <c r="AF17" s="238"/>
      <c r="AG17" s="238"/>
      <c r="AH17" s="57">
        <f t="shared" si="9"/>
        <v>417</v>
      </c>
      <c r="AI17" s="41">
        <f t="shared" si="5"/>
        <v>0.36818181818181817</v>
      </c>
      <c r="AJ17" s="41">
        <f t="shared" si="6"/>
        <v>0.38933333333333331</v>
      </c>
      <c r="AK17" s="41">
        <f t="shared" si="2"/>
        <v>0.99573742540494459</v>
      </c>
      <c r="AL17" s="41">
        <f t="shared" si="3"/>
        <v>0.14273443385259241</v>
      </c>
      <c r="AM17" s="239" t="s">
        <v>109</v>
      </c>
    </row>
    <row r="18" spans="1:39" s="7" customFormat="1" ht="12.75" customHeight="1" thickBot="1" x14ac:dyDescent="0.25">
      <c r="A18" s="399">
        <f t="shared" ref="A18" si="12">A15+1</f>
        <v>46027</v>
      </c>
      <c r="B18" s="402">
        <f t="shared" ref="B18" si="13">A18</f>
        <v>46027</v>
      </c>
      <c r="C18" s="50" t="s">
        <v>23</v>
      </c>
      <c r="D18" s="68" t="s">
        <v>65</v>
      </c>
      <c r="E18" s="284">
        <v>2000</v>
      </c>
      <c r="F18" s="284">
        <v>1200</v>
      </c>
      <c r="G18" s="224">
        <v>0</v>
      </c>
      <c r="H18" s="225">
        <v>660</v>
      </c>
      <c r="I18" s="51">
        <f t="shared" si="0"/>
        <v>30</v>
      </c>
      <c r="J18" s="52">
        <f t="shared" si="4"/>
        <v>396</v>
      </c>
      <c r="K18" s="226"/>
      <c r="L18" s="226"/>
      <c r="M18" s="226">
        <v>234</v>
      </c>
      <c r="N18" s="226"/>
      <c r="O18" s="226"/>
      <c r="P18" s="226"/>
      <c r="Q18" s="226"/>
      <c r="R18" s="226"/>
      <c r="S18" s="226"/>
      <c r="T18" s="226"/>
      <c r="U18" s="226"/>
      <c r="V18" s="226"/>
      <c r="W18" s="226"/>
      <c r="X18" s="226"/>
      <c r="Y18" s="226"/>
      <c r="Z18" s="226">
        <v>30</v>
      </c>
      <c r="AA18" s="226"/>
      <c r="AB18" s="226"/>
      <c r="AC18" s="226"/>
      <c r="AD18" s="226"/>
      <c r="AE18" s="226"/>
      <c r="AF18" s="226"/>
      <c r="AG18" s="226"/>
      <c r="AH18" s="53">
        <f t="shared" si="9"/>
        <v>264</v>
      </c>
      <c r="AI18" s="39">
        <f t="shared" si="5"/>
        <v>0.6</v>
      </c>
      <c r="AJ18" s="39">
        <f t="shared" si="6"/>
        <v>0.6</v>
      </c>
      <c r="AK18" s="39">
        <f t="shared" si="2"/>
        <v>1</v>
      </c>
      <c r="AL18" s="39">
        <f t="shared" si="3"/>
        <v>0.36</v>
      </c>
      <c r="AM18" s="239" t="s">
        <v>110</v>
      </c>
    </row>
    <row r="19" spans="1:39" s="7" customFormat="1" ht="12.75" customHeight="1" thickBot="1" x14ac:dyDescent="0.25">
      <c r="A19" s="400"/>
      <c r="B19" s="403"/>
      <c r="C19" s="46" t="s">
        <v>23</v>
      </c>
      <c r="D19" s="71" t="s">
        <v>67</v>
      </c>
      <c r="E19" s="285">
        <v>3000</v>
      </c>
      <c r="F19" s="285">
        <v>1235</v>
      </c>
      <c r="G19" s="296">
        <v>13</v>
      </c>
      <c r="H19" s="231">
        <v>660</v>
      </c>
      <c r="I19" s="47">
        <f t="shared" si="0"/>
        <v>30</v>
      </c>
      <c r="J19" s="48">
        <f t="shared" si="4"/>
        <v>372</v>
      </c>
      <c r="K19" s="232"/>
      <c r="L19" s="232"/>
      <c r="M19" s="232">
        <v>258</v>
      </c>
      <c r="N19" s="232"/>
      <c r="O19" s="232"/>
      <c r="P19" s="232"/>
      <c r="Q19" s="232"/>
      <c r="R19" s="232"/>
      <c r="S19" s="232"/>
      <c r="T19" s="232"/>
      <c r="U19" s="232"/>
      <c r="V19" s="232"/>
      <c r="W19" s="232"/>
      <c r="X19" s="232"/>
      <c r="Y19" s="232"/>
      <c r="Z19" s="232">
        <v>30</v>
      </c>
      <c r="AA19" s="232"/>
      <c r="AB19" s="232"/>
      <c r="AC19" s="232"/>
      <c r="AD19" s="232"/>
      <c r="AE19" s="232"/>
      <c r="AF19" s="232"/>
      <c r="AG19" s="232"/>
      <c r="AH19" s="49">
        <f t="shared" si="9"/>
        <v>288</v>
      </c>
      <c r="AI19" s="6">
        <f t="shared" si="5"/>
        <v>0.5636363636363636</v>
      </c>
      <c r="AJ19" s="6">
        <f t="shared" si="6"/>
        <v>0.41166666666666668</v>
      </c>
      <c r="AK19" s="6">
        <f t="shared" si="2"/>
        <v>0.98958333333333337</v>
      </c>
      <c r="AL19" s="6">
        <f t="shared" si="3"/>
        <v>0.22961332070707069</v>
      </c>
      <c r="AM19" s="239" t="s">
        <v>110</v>
      </c>
    </row>
    <row r="20" spans="1:39" s="7" customFormat="1" ht="12.75" customHeight="1" thickBot="1" x14ac:dyDescent="0.25">
      <c r="A20" s="401"/>
      <c r="B20" s="404"/>
      <c r="C20" s="54" t="s">
        <v>23</v>
      </c>
      <c r="D20" s="72" t="s">
        <v>66</v>
      </c>
      <c r="E20" s="286">
        <v>3000</v>
      </c>
      <c r="F20" s="286">
        <v>513</v>
      </c>
      <c r="G20" s="297">
        <v>3</v>
      </c>
      <c r="H20" s="237">
        <v>660</v>
      </c>
      <c r="I20" s="279">
        <f t="shared" si="0"/>
        <v>30</v>
      </c>
      <c r="J20" s="56">
        <f t="shared" si="4"/>
        <v>114</v>
      </c>
      <c r="K20" s="238"/>
      <c r="L20" s="238"/>
      <c r="M20" s="238">
        <v>516</v>
      </c>
      <c r="N20" s="238"/>
      <c r="O20" s="238"/>
      <c r="P20" s="238"/>
      <c r="Q20" s="238"/>
      <c r="R20" s="238"/>
      <c r="S20" s="238"/>
      <c r="T20" s="238"/>
      <c r="U20" s="238"/>
      <c r="V20" s="238"/>
      <c r="W20" s="238"/>
      <c r="X20" s="238"/>
      <c r="Y20" s="238"/>
      <c r="Z20" s="238">
        <v>30</v>
      </c>
      <c r="AA20" s="238"/>
      <c r="AB20" s="238"/>
      <c r="AC20" s="238"/>
      <c r="AD20" s="238"/>
      <c r="AE20" s="238"/>
      <c r="AF20" s="238"/>
      <c r="AG20" s="238"/>
      <c r="AH20" s="57">
        <f t="shared" si="9"/>
        <v>546</v>
      </c>
      <c r="AI20" s="41">
        <f t="shared" si="5"/>
        <v>0.17272727272727273</v>
      </c>
      <c r="AJ20" s="41">
        <f t="shared" si="6"/>
        <v>0.17100000000000001</v>
      </c>
      <c r="AK20" s="41">
        <f t="shared" si="2"/>
        <v>0.9941860465116279</v>
      </c>
      <c r="AL20" s="41">
        <f t="shared" si="3"/>
        <v>2.9364640591966175E-2</v>
      </c>
      <c r="AM20" s="239" t="s">
        <v>109</v>
      </c>
    </row>
    <row r="21" spans="1:39" s="7" customFormat="1" ht="12.75" customHeight="1" thickBot="1" x14ac:dyDescent="0.25">
      <c r="A21" s="399">
        <f t="shared" ref="A21" si="14">A18+1</f>
        <v>46028</v>
      </c>
      <c r="B21" s="402">
        <f t="shared" ref="B21" si="15">A21</f>
        <v>46028</v>
      </c>
      <c r="C21" s="50" t="s">
        <v>23</v>
      </c>
      <c r="D21" s="68" t="s">
        <v>65</v>
      </c>
      <c r="E21" s="284">
        <v>2000</v>
      </c>
      <c r="F21" s="284">
        <v>1700</v>
      </c>
      <c r="G21" s="224">
        <v>0</v>
      </c>
      <c r="H21" s="225">
        <v>660</v>
      </c>
      <c r="I21" s="51">
        <f t="shared" si="0"/>
        <v>30</v>
      </c>
      <c r="J21" s="52">
        <f t="shared" si="4"/>
        <v>561</v>
      </c>
      <c r="K21" s="226"/>
      <c r="L21" s="226"/>
      <c r="M21" s="226">
        <v>69</v>
      </c>
      <c r="N21" s="226"/>
      <c r="O21" s="226"/>
      <c r="P21" s="226"/>
      <c r="Q21" s="226"/>
      <c r="R21" s="226"/>
      <c r="S21" s="226"/>
      <c r="T21" s="226"/>
      <c r="U21" s="226"/>
      <c r="V21" s="226"/>
      <c r="W21" s="226"/>
      <c r="X21" s="226"/>
      <c r="Y21" s="226"/>
      <c r="Z21" s="226">
        <v>30</v>
      </c>
      <c r="AA21" s="226"/>
      <c r="AB21" s="226"/>
      <c r="AC21" s="226"/>
      <c r="AD21" s="226"/>
      <c r="AE21" s="226"/>
      <c r="AF21" s="226"/>
      <c r="AG21" s="226"/>
      <c r="AH21" s="53">
        <f t="shared" si="9"/>
        <v>99</v>
      </c>
      <c r="AI21" s="39">
        <f t="shared" si="5"/>
        <v>0.85</v>
      </c>
      <c r="AJ21" s="39">
        <f t="shared" si="6"/>
        <v>0.85</v>
      </c>
      <c r="AK21" s="39">
        <f t="shared" si="2"/>
        <v>1</v>
      </c>
      <c r="AL21" s="39">
        <f t="shared" si="3"/>
        <v>0.72249999999999992</v>
      </c>
      <c r="AM21" s="239" t="s">
        <v>110</v>
      </c>
    </row>
    <row r="22" spans="1:39" s="7" customFormat="1" ht="12.75" customHeight="1" thickBot="1" x14ac:dyDescent="0.25">
      <c r="A22" s="400"/>
      <c r="B22" s="403"/>
      <c r="C22" s="46" t="s">
        <v>23</v>
      </c>
      <c r="D22" s="71" t="s">
        <v>67</v>
      </c>
      <c r="E22" s="285">
        <v>3000</v>
      </c>
      <c r="F22" s="285">
        <v>1883</v>
      </c>
      <c r="G22" s="296">
        <v>7</v>
      </c>
      <c r="H22" s="231">
        <v>660</v>
      </c>
      <c r="I22" s="47">
        <f t="shared" si="0"/>
        <v>30</v>
      </c>
      <c r="J22" s="48">
        <f t="shared" si="4"/>
        <v>414</v>
      </c>
      <c r="K22" s="232"/>
      <c r="L22" s="232"/>
      <c r="M22" s="232">
        <v>216</v>
      </c>
      <c r="N22" s="232"/>
      <c r="O22" s="232"/>
      <c r="P22" s="232"/>
      <c r="Q22" s="232"/>
      <c r="R22" s="232"/>
      <c r="S22" s="232"/>
      <c r="T22" s="232"/>
      <c r="U22" s="232"/>
      <c r="V22" s="232"/>
      <c r="W22" s="232"/>
      <c r="X22" s="232"/>
      <c r="Y22" s="232"/>
      <c r="Z22" s="232">
        <v>30</v>
      </c>
      <c r="AA22" s="232"/>
      <c r="AB22" s="232"/>
      <c r="AC22" s="232"/>
      <c r="AD22" s="232"/>
      <c r="AE22" s="232"/>
      <c r="AF22" s="232"/>
      <c r="AG22" s="232"/>
      <c r="AH22" s="49">
        <f t="shared" si="9"/>
        <v>246</v>
      </c>
      <c r="AI22" s="6">
        <f t="shared" si="5"/>
        <v>0.62727272727272732</v>
      </c>
      <c r="AJ22" s="6">
        <f t="shared" si="6"/>
        <v>0.62766666666666671</v>
      </c>
      <c r="AK22" s="6">
        <f t="shared" si="2"/>
        <v>0.99629629629629635</v>
      </c>
      <c r="AL22" s="6">
        <f t="shared" si="3"/>
        <v>0.39225996632996635</v>
      </c>
      <c r="AM22" s="239" t="s">
        <v>109</v>
      </c>
    </row>
    <row r="23" spans="1:39" s="7" customFormat="1" ht="12.75" customHeight="1" thickBot="1" x14ac:dyDescent="0.25">
      <c r="A23" s="401"/>
      <c r="B23" s="404"/>
      <c r="C23" s="54" t="s">
        <v>23</v>
      </c>
      <c r="D23" s="72" t="s">
        <v>66</v>
      </c>
      <c r="E23" s="286">
        <v>3000</v>
      </c>
      <c r="F23" s="286">
        <v>1190</v>
      </c>
      <c r="G23" s="297">
        <v>26</v>
      </c>
      <c r="H23" s="237">
        <v>660</v>
      </c>
      <c r="I23" s="279">
        <f t="shared" si="0"/>
        <v>30</v>
      </c>
      <c r="J23" s="56">
        <f t="shared" si="4"/>
        <v>262</v>
      </c>
      <c r="K23" s="238"/>
      <c r="L23" s="238"/>
      <c r="M23" s="238">
        <v>368</v>
      </c>
      <c r="N23" s="238"/>
      <c r="O23" s="238"/>
      <c r="P23" s="238"/>
      <c r="Q23" s="238"/>
      <c r="R23" s="238"/>
      <c r="S23" s="238"/>
      <c r="T23" s="238"/>
      <c r="U23" s="238"/>
      <c r="V23" s="238"/>
      <c r="W23" s="238"/>
      <c r="X23" s="238"/>
      <c r="Y23" s="238"/>
      <c r="Z23" s="238">
        <v>30</v>
      </c>
      <c r="AA23" s="238"/>
      <c r="AB23" s="238"/>
      <c r="AC23" s="238"/>
      <c r="AD23" s="238"/>
      <c r="AE23" s="238"/>
      <c r="AF23" s="238"/>
      <c r="AG23" s="238"/>
      <c r="AH23" s="57">
        <f t="shared" si="9"/>
        <v>398</v>
      </c>
      <c r="AI23" s="41">
        <f t="shared" si="5"/>
        <v>0.39696969696969697</v>
      </c>
      <c r="AJ23" s="41">
        <f t="shared" si="6"/>
        <v>0.39666666666666667</v>
      </c>
      <c r="AK23" s="41">
        <f t="shared" si="2"/>
        <v>0.97861842105263153</v>
      </c>
      <c r="AL23" s="41">
        <f t="shared" si="3"/>
        <v>0.15409780369484316</v>
      </c>
      <c r="AM23" s="239" t="s">
        <v>109</v>
      </c>
    </row>
    <row r="24" spans="1:39" s="7" customFormat="1" ht="12.75" customHeight="1" thickBot="1" x14ac:dyDescent="0.25">
      <c r="A24" s="399">
        <f t="shared" ref="A24" si="16">A21+1</f>
        <v>46029</v>
      </c>
      <c r="B24" s="402">
        <f t="shared" ref="B24" si="17">A24</f>
        <v>46029</v>
      </c>
      <c r="C24" s="50" t="s">
        <v>23</v>
      </c>
      <c r="D24" s="68" t="s">
        <v>65</v>
      </c>
      <c r="E24" s="284">
        <v>2000</v>
      </c>
      <c r="F24" s="284">
        <v>720</v>
      </c>
      <c r="G24" s="224">
        <v>0</v>
      </c>
      <c r="H24" s="225">
        <v>660</v>
      </c>
      <c r="I24" s="51">
        <f t="shared" si="0"/>
        <v>30</v>
      </c>
      <c r="J24" s="52">
        <f t="shared" si="4"/>
        <v>240</v>
      </c>
      <c r="K24" s="226"/>
      <c r="L24" s="226"/>
      <c r="M24" s="226">
        <v>390</v>
      </c>
      <c r="N24" s="226"/>
      <c r="O24" s="226"/>
      <c r="P24" s="226"/>
      <c r="Q24" s="226"/>
      <c r="R24" s="226"/>
      <c r="S24" s="226"/>
      <c r="T24" s="226"/>
      <c r="U24" s="226"/>
      <c r="V24" s="226"/>
      <c r="W24" s="226"/>
      <c r="X24" s="226"/>
      <c r="Y24" s="226"/>
      <c r="Z24" s="226">
        <v>30</v>
      </c>
      <c r="AA24" s="226"/>
      <c r="AB24" s="226"/>
      <c r="AC24" s="226"/>
      <c r="AD24" s="226"/>
      <c r="AE24" s="226"/>
      <c r="AF24" s="226"/>
      <c r="AG24" s="226"/>
      <c r="AH24" s="53">
        <f t="shared" si="9"/>
        <v>420</v>
      </c>
      <c r="AI24" s="39">
        <f t="shared" si="5"/>
        <v>0.36363636363636365</v>
      </c>
      <c r="AJ24" s="39">
        <f t="shared" si="6"/>
        <v>0.36</v>
      </c>
      <c r="AK24" s="39">
        <f t="shared" si="2"/>
        <v>1</v>
      </c>
      <c r="AL24" s="39">
        <f t="shared" si="3"/>
        <v>0.13090909090909092</v>
      </c>
      <c r="AM24" s="239" t="s">
        <v>110</v>
      </c>
    </row>
    <row r="25" spans="1:39" s="7" customFormat="1" ht="12.75" customHeight="1" thickBot="1" x14ac:dyDescent="0.25">
      <c r="A25" s="400"/>
      <c r="B25" s="403"/>
      <c r="C25" s="46" t="s">
        <v>23</v>
      </c>
      <c r="D25" s="71" t="s">
        <v>67</v>
      </c>
      <c r="E25" s="285">
        <v>3000</v>
      </c>
      <c r="F25" s="285">
        <v>2704</v>
      </c>
      <c r="G25" s="296">
        <v>5</v>
      </c>
      <c r="H25" s="231">
        <v>660</v>
      </c>
      <c r="I25" s="47">
        <f t="shared" si="0"/>
        <v>30</v>
      </c>
      <c r="J25" s="48">
        <f t="shared" si="4"/>
        <v>595</v>
      </c>
      <c r="K25" s="232"/>
      <c r="L25" s="232"/>
      <c r="M25" s="232">
        <v>35</v>
      </c>
      <c r="N25" s="232"/>
      <c r="O25" s="232"/>
      <c r="P25" s="232"/>
      <c r="Q25" s="232"/>
      <c r="R25" s="232"/>
      <c r="S25" s="232"/>
      <c r="T25" s="232"/>
      <c r="U25" s="232"/>
      <c r="V25" s="232"/>
      <c r="W25" s="232"/>
      <c r="X25" s="232"/>
      <c r="Y25" s="232"/>
      <c r="Z25" s="232">
        <v>30</v>
      </c>
      <c r="AA25" s="232"/>
      <c r="AB25" s="232"/>
      <c r="AC25" s="232"/>
      <c r="AD25" s="232"/>
      <c r="AE25" s="232"/>
      <c r="AF25" s="232"/>
      <c r="AG25" s="232"/>
      <c r="AH25" s="49">
        <f t="shared" si="9"/>
        <v>65</v>
      </c>
      <c r="AI25" s="6">
        <f t="shared" si="5"/>
        <v>0.90151515151515149</v>
      </c>
      <c r="AJ25" s="6">
        <f t="shared" si="6"/>
        <v>0.90133333333333332</v>
      </c>
      <c r="AK25" s="6">
        <f t="shared" si="2"/>
        <v>0.99815430047988185</v>
      </c>
      <c r="AL25" s="6">
        <f t="shared" si="3"/>
        <v>0.81106590452326888</v>
      </c>
      <c r="AM25" s="239"/>
    </row>
    <row r="26" spans="1:39" s="7" customFormat="1" ht="12.75" customHeight="1" thickBot="1" x14ac:dyDescent="0.25">
      <c r="A26" s="401"/>
      <c r="B26" s="404"/>
      <c r="C26" s="54" t="s">
        <v>23</v>
      </c>
      <c r="D26" s="72" t="s">
        <v>66</v>
      </c>
      <c r="E26" s="286">
        <v>3000</v>
      </c>
      <c r="F26" s="286">
        <v>1042</v>
      </c>
      <c r="G26" s="297">
        <v>5</v>
      </c>
      <c r="H26" s="237">
        <v>660</v>
      </c>
      <c r="I26" s="279">
        <f t="shared" si="0"/>
        <v>30</v>
      </c>
      <c r="J26" s="56">
        <f t="shared" si="4"/>
        <v>199</v>
      </c>
      <c r="K26" s="238"/>
      <c r="L26" s="238"/>
      <c r="M26" s="238">
        <v>431</v>
      </c>
      <c r="N26" s="238"/>
      <c r="O26" s="238"/>
      <c r="P26" s="238"/>
      <c r="Q26" s="238"/>
      <c r="R26" s="238"/>
      <c r="S26" s="238"/>
      <c r="T26" s="238"/>
      <c r="U26" s="238"/>
      <c r="V26" s="238"/>
      <c r="W26" s="238"/>
      <c r="X26" s="238"/>
      <c r="Y26" s="238"/>
      <c r="Z26" s="238">
        <v>30</v>
      </c>
      <c r="AA26" s="238"/>
      <c r="AB26" s="238"/>
      <c r="AC26" s="238"/>
      <c r="AD26" s="238"/>
      <c r="AE26" s="238"/>
      <c r="AF26" s="238"/>
      <c r="AG26" s="238"/>
      <c r="AH26" s="57">
        <f t="shared" si="9"/>
        <v>461</v>
      </c>
      <c r="AI26" s="41">
        <f t="shared" si="5"/>
        <v>0.30151515151515151</v>
      </c>
      <c r="AJ26" s="41">
        <f t="shared" si="6"/>
        <v>0.34733333333333333</v>
      </c>
      <c r="AK26" s="41">
        <f t="shared" si="2"/>
        <v>0.99522445081184341</v>
      </c>
      <c r="AL26" s="41">
        <f t="shared" si="3"/>
        <v>0.10422613720779911</v>
      </c>
      <c r="AM26" s="239" t="s">
        <v>109</v>
      </c>
    </row>
    <row r="27" spans="1:39" s="7" customFormat="1" ht="12.75" customHeight="1" thickBot="1" x14ac:dyDescent="0.25">
      <c r="A27" s="399">
        <f t="shared" ref="A27" si="18">A24+1</f>
        <v>46030</v>
      </c>
      <c r="B27" s="402">
        <f t="shared" ref="B27" si="19">A27</f>
        <v>46030</v>
      </c>
      <c r="C27" s="50" t="s">
        <v>23</v>
      </c>
      <c r="D27" s="68" t="s">
        <v>65</v>
      </c>
      <c r="E27" s="284">
        <v>2000</v>
      </c>
      <c r="F27" s="284">
        <v>600</v>
      </c>
      <c r="G27" s="224"/>
      <c r="H27" s="225">
        <v>660</v>
      </c>
      <c r="I27" s="51">
        <f t="shared" si="0"/>
        <v>30</v>
      </c>
      <c r="J27" s="52">
        <f t="shared" si="4"/>
        <v>228</v>
      </c>
      <c r="K27" s="226"/>
      <c r="L27" s="226"/>
      <c r="M27" s="226">
        <v>402</v>
      </c>
      <c r="N27" s="226"/>
      <c r="O27" s="226"/>
      <c r="P27" s="226"/>
      <c r="Q27" s="226"/>
      <c r="R27" s="226"/>
      <c r="S27" s="226"/>
      <c r="T27" s="226"/>
      <c r="U27" s="226"/>
      <c r="V27" s="226"/>
      <c r="W27" s="226"/>
      <c r="X27" s="226"/>
      <c r="Y27" s="226"/>
      <c r="Z27" s="226">
        <v>30</v>
      </c>
      <c r="AA27" s="226"/>
      <c r="AB27" s="226"/>
      <c r="AC27" s="226"/>
      <c r="AD27" s="226"/>
      <c r="AE27" s="226"/>
      <c r="AF27" s="226"/>
      <c r="AG27" s="226"/>
      <c r="AH27" s="53">
        <f t="shared" si="9"/>
        <v>432</v>
      </c>
      <c r="AI27" s="39">
        <f t="shared" si="5"/>
        <v>0.34545454545454546</v>
      </c>
      <c r="AJ27" s="39">
        <f t="shared" si="6"/>
        <v>0.3</v>
      </c>
      <c r="AK27" s="39">
        <f t="shared" si="2"/>
        <v>1</v>
      </c>
      <c r="AL27" s="39">
        <f t="shared" si="3"/>
        <v>0.10363636363636364</v>
      </c>
      <c r="AM27" s="239" t="s">
        <v>110</v>
      </c>
    </row>
    <row r="28" spans="1:39" s="7" customFormat="1" ht="12.75" customHeight="1" thickBot="1" x14ac:dyDescent="0.25">
      <c r="A28" s="400"/>
      <c r="B28" s="403"/>
      <c r="C28" s="46" t="s">
        <v>23</v>
      </c>
      <c r="D28" s="71" t="s">
        <v>67</v>
      </c>
      <c r="E28" s="285">
        <v>3000</v>
      </c>
      <c r="F28" s="285">
        <v>1350</v>
      </c>
      <c r="G28" s="296">
        <v>0</v>
      </c>
      <c r="H28" s="231">
        <v>660</v>
      </c>
      <c r="I28" s="47">
        <f t="shared" si="0"/>
        <v>30</v>
      </c>
      <c r="J28" s="48">
        <f t="shared" si="4"/>
        <v>297</v>
      </c>
      <c r="K28" s="232"/>
      <c r="L28" s="232"/>
      <c r="M28" s="232">
        <v>333</v>
      </c>
      <c r="N28" s="232"/>
      <c r="O28" s="232"/>
      <c r="P28" s="232"/>
      <c r="Q28" s="232"/>
      <c r="R28" s="232"/>
      <c r="S28" s="232"/>
      <c r="T28" s="232"/>
      <c r="U28" s="232"/>
      <c r="V28" s="232"/>
      <c r="W28" s="232"/>
      <c r="X28" s="232"/>
      <c r="Y28" s="232"/>
      <c r="Z28" s="232">
        <v>30</v>
      </c>
      <c r="AA28" s="232"/>
      <c r="AB28" s="232"/>
      <c r="AC28" s="232"/>
      <c r="AD28" s="232"/>
      <c r="AE28" s="232"/>
      <c r="AF28" s="232"/>
      <c r="AG28" s="232"/>
      <c r="AH28" s="49">
        <f t="shared" si="9"/>
        <v>363</v>
      </c>
      <c r="AI28" s="6">
        <f t="shared" si="5"/>
        <v>0.45</v>
      </c>
      <c r="AJ28" s="6">
        <f t="shared" si="6"/>
        <v>0.45</v>
      </c>
      <c r="AK28" s="6">
        <f t="shared" si="2"/>
        <v>1</v>
      </c>
      <c r="AL28" s="6">
        <f t="shared" si="3"/>
        <v>0.20250000000000001</v>
      </c>
      <c r="AM28" s="239" t="s">
        <v>109</v>
      </c>
    </row>
    <row r="29" spans="1:39" s="7" customFormat="1" ht="12.75" customHeight="1" thickBot="1" x14ac:dyDescent="0.25">
      <c r="A29" s="401"/>
      <c r="B29" s="404"/>
      <c r="C29" s="54" t="s">
        <v>23</v>
      </c>
      <c r="D29" s="72" t="s">
        <v>66</v>
      </c>
      <c r="E29" s="286">
        <v>3000</v>
      </c>
      <c r="F29" s="286">
        <v>1200</v>
      </c>
      <c r="G29" s="297">
        <v>8</v>
      </c>
      <c r="H29" s="237">
        <v>660</v>
      </c>
      <c r="I29" s="279">
        <f t="shared" si="0"/>
        <v>30</v>
      </c>
      <c r="J29" s="56">
        <f t="shared" si="4"/>
        <v>266</v>
      </c>
      <c r="K29" s="238"/>
      <c r="L29" s="238"/>
      <c r="M29" s="238">
        <v>364</v>
      </c>
      <c r="N29" s="238"/>
      <c r="O29" s="238"/>
      <c r="P29" s="238"/>
      <c r="Q29" s="238"/>
      <c r="R29" s="238"/>
      <c r="S29" s="238"/>
      <c r="T29" s="238"/>
      <c r="U29" s="238"/>
      <c r="V29" s="238"/>
      <c r="W29" s="238"/>
      <c r="X29" s="238"/>
      <c r="Y29" s="238"/>
      <c r="Z29" s="238">
        <v>30</v>
      </c>
      <c r="AA29" s="238"/>
      <c r="AB29" s="238"/>
      <c r="AC29" s="238"/>
      <c r="AD29" s="238"/>
      <c r="AE29" s="238"/>
      <c r="AF29" s="238"/>
      <c r="AG29" s="238"/>
      <c r="AH29" s="57">
        <f t="shared" si="9"/>
        <v>394</v>
      </c>
      <c r="AI29" s="41">
        <f t="shared" si="5"/>
        <v>0.40303030303030302</v>
      </c>
      <c r="AJ29" s="41">
        <f t="shared" si="6"/>
        <v>0.4</v>
      </c>
      <c r="AK29" s="41">
        <f t="shared" si="2"/>
        <v>0.99337748344370858</v>
      </c>
      <c r="AL29" s="41">
        <f t="shared" si="3"/>
        <v>0.1601444912703191</v>
      </c>
      <c r="AM29" s="239" t="s">
        <v>109</v>
      </c>
    </row>
    <row r="30" spans="1:39" s="7" customFormat="1" ht="12.75" customHeight="1" x14ac:dyDescent="0.2">
      <c r="A30" s="399">
        <f t="shared" ref="A30" si="20">A27+1</f>
        <v>46031</v>
      </c>
      <c r="B30" s="402">
        <f t="shared" ref="B30" si="21">A30</f>
        <v>46031</v>
      </c>
      <c r="C30" s="50" t="s">
        <v>23</v>
      </c>
      <c r="D30" s="68" t="s">
        <v>65</v>
      </c>
      <c r="E30" s="284"/>
      <c r="F30" s="284"/>
      <c r="G30" s="224"/>
      <c r="H30" s="225"/>
      <c r="I30" s="51">
        <f t="shared" si="0"/>
        <v>0</v>
      </c>
      <c r="J30" s="52">
        <f t="shared" si="4"/>
        <v>0</v>
      </c>
      <c r="K30" s="226"/>
      <c r="L30" s="226"/>
      <c r="M30" s="226"/>
      <c r="N30" s="226"/>
      <c r="O30" s="226"/>
      <c r="P30" s="226"/>
      <c r="Q30" s="226"/>
      <c r="R30" s="226"/>
      <c r="S30" s="226"/>
      <c r="T30" s="226"/>
      <c r="U30" s="226"/>
      <c r="V30" s="226"/>
      <c r="W30" s="226"/>
      <c r="X30" s="226"/>
      <c r="Y30" s="226"/>
      <c r="Z30" s="226"/>
      <c r="AA30" s="226"/>
      <c r="AB30" s="226"/>
      <c r="AC30" s="226"/>
      <c r="AD30" s="226"/>
      <c r="AE30" s="226"/>
      <c r="AF30" s="226"/>
      <c r="AG30" s="226"/>
      <c r="AH30" s="53">
        <f t="shared" si="9"/>
        <v>0</v>
      </c>
      <c r="AI30" s="39" t="str">
        <f t="shared" si="5"/>
        <v>0</v>
      </c>
      <c r="AJ30" s="39" t="str">
        <f t="shared" si="6"/>
        <v>0</v>
      </c>
      <c r="AK30" s="39" t="str">
        <f t="shared" si="2"/>
        <v>0</v>
      </c>
      <c r="AL30" s="39">
        <f t="shared" si="3"/>
        <v>0</v>
      </c>
      <c r="AM30" s="227"/>
    </row>
    <row r="31" spans="1:39" s="7" customFormat="1" ht="12.75" customHeight="1" x14ac:dyDescent="0.2">
      <c r="A31" s="400"/>
      <c r="B31" s="403"/>
      <c r="C31" s="46" t="s">
        <v>23</v>
      </c>
      <c r="D31" s="71" t="s">
        <v>67</v>
      </c>
      <c r="E31" s="285"/>
      <c r="F31" s="285"/>
      <c r="G31" s="230"/>
      <c r="H31" s="231"/>
      <c r="I31" s="47">
        <f t="shared" si="0"/>
        <v>0</v>
      </c>
      <c r="J31" s="48">
        <f t="shared" si="4"/>
        <v>0</v>
      </c>
      <c r="K31" s="232"/>
      <c r="L31" s="232"/>
      <c r="M31" s="232"/>
      <c r="N31" s="232"/>
      <c r="O31" s="232"/>
      <c r="P31" s="232"/>
      <c r="Q31" s="232"/>
      <c r="R31" s="232"/>
      <c r="S31" s="232"/>
      <c r="T31" s="232"/>
      <c r="U31" s="232"/>
      <c r="V31" s="232"/>
      <c r="W31" s="232"/>
      <c r="X31" s="232"/>
      <c r="Y31" s="232"/>
      <c r="Z31" s="232"/>
      <c r="AA31" s="232"/>
      <c r="AB31" s="232"/>
      <c r="AC31" s="232"/>
      <c r="AD31" s="232"/>
      <c r="AE31" s="232"/>
      <c r="AF31" s="232"/>
      <c r="AG31" s="232"/>
      <c r="AH31" s="49">
        <f t="shared" si="9"/>
        <v>0</v>
      </c>
      <c r="AI31" s="6" t="str">
        <f t="shared" si="5"/>
        <v>0</v>
      </c>
      <c r="AJ31" s="6" t="str">
        <f t="shared" si="6"/>
        <v>0</v>
      </c>
      <c r="AK31" s="6" t="str">
        <f t="shared" si="2"/>
        <v>0</v>
      </c>
      <c r="AL31" s="6">
        <f t="shared" si="3"/>
        <v>0</v>
      </c>
      <c r="AM31" s="233"/>
    </row>
    <row r="32" spans="1:39" s="7" customFormat="1" ht="12.75" customHeight="1" thickBot="1" x14ac:dyDescent="0.25">
      <c r="A32" s="401"/>
      <c r="B32" s="404"/>
      <c r="C32" s="54" t="s">
        <v>23</v>
      </c>
      <c r="D32" s="72" t="s">
        <v>66</v>
      </c>
      <c r="E32" s="286"/>
      <c r="F32" s="286"/>
      <c r="G32" s="236"/>
      <c r="H32" s="237"/>
      <c r="I32" s="279">
        <f t="shared" si="0"/>
        <v>0</v>
      </c>
      <c r="J32" s="56">
        <f t="shared" si="4"/>
        <v>0</v>
      </c>
      <c r="K32" s="238"/>
      <c r="L32" s="238"/>
      <c r="M32" s="238"/>
      <c r="N32" s="238"/>
      <c r="O32" s="238"/>
      <c r="P32" s="238"/>
      <c r="Q32" s="238"/>
      <c r="R32" s="238"/>
      <c r="S32" s="238"/>
      <c r="T32" s="238"/>
      <c r="U32" s="238"/>
      <c r="V32" s="238"/>
      <c r="W32" s="238"/>
      <c r="X32" s="238"/>
      <c r="Y32" s="238"/>
      <c r="Z32" s="238"/>
      <c r="AA32" s="238"/>
      <c r="AB32" s="238"/>
      <c r="AC32" s="238"/>
      <c r="AD32" s="238"/>
      <c r="AE32" s="238"/>
      <c r="AF32" s="238"/>
      <c r="AG32" s="238"/>
      <c r="AH32" s="57">
        <f t="shared" si="9"/>
        <v>0</v>
      </c>
      <c r="AI32" s="41" t="str">
        <f t="shared" si="5"/>
        <v>0</v>
      </c>
      <c r="AJ32" s="41" t="str">
        <f t="shared" si="6"/>
        <v>0</v>
      </c>
      <c r="AK32" s="41" t="str">
        <f t="shared" si="2"/>
        <v>0</v>
      </c>
      <c r="AL32" s="41">
        <f t="shared" si="3"/>
        <v>0</v>
      </c>
      <c r="AM32" s="239"/>
    </row>
    <row r="33" spans="1:39" s="7" customFormat="1" ht="12.75" customHeight="1" thickBot="1" x14ac:dyDescent="0.25">
      <c r="A33" s="399">
        <f t="shared" ref="A33" si="22">A30+1</f>
        <v>46032</v>
      </c>
      <c r="B33" s="402">
        <f t="shared" ref="B33" si="23">A33</f>
        <v>46032</v>
      </c>
      <c r="C33" s="50" t="s">
        <v>23</v>
      </c>
      <c r="D33" s="68" t="s">
        <v>65</v>
      </c>
      <c r="E33" s="284">
        <v>2000</v>
      </c>
      <c r="F33" s="284">
        <v>600</v>
      </c>
      <c r="G33" s="224">
        <v>0</v>
      </c>
      <c r="H33" s="225">
        <v>660</v>
      </c>
      <c r="I33" s="51">
        <f t="shared" si="0"/>
        <v>30</v>
      </c>
      <c r="J33" s="52">
        <f t="shared" si="4"/>
        <v>228</v>
      </c>
      <c r="K33" s="226"/>
      <c r="L33" s="226"/>
      <c r="M33" s="226">
        <v>402</v>
      </c>
      <c r="N33" s="226"/>
      <c r="O33" s="226"/>
      <c r="P33" s="226"/>
      <c r="Q33" s="226"/>
      <c r="R33" s="226"/>
      <c r="S33" s="226"/>
      <c r="T33" s="226"/>
      <c r="U33" s="226"/>
      <c r="V33" s="226"/>
      <c r="W33" s="226"/>
      <c r="X33" s="226"/>
      <c r="Y33" s="226"/>
      <c r="Z33" s="226">
        <v>30</v>
      </c>
      <c r="AA33" s="226"/>
      <c r="AB33" s="226"/>
      <c r="AC33" s="226"/>
      <c r="AD33" s="226"/>
      <c r="AE33" s="226"/>
      <c r="AF33" s="226"/>
      <c r="AG33" s="226"/>
      <c r="AH33" s="53">
        <f t="shared" si="9"/>
        <v>432</v>
      </c>
      <c r="AI33" s="39">
        <f t="shared" si="5"/>
        <v>0.34545454545454546</v>
      </c>
      <c r="AJ33" s="39">
        <f t="shared" si="6"/>
        <v>0.3</v>
      </c>
      <c r="AK33" s="39">
        <f t="shared" si="2"/>
        <v>1</v>
      </c>
      <c r="AL33" s="39">
        <f t="shared" si="3"/>
        <v>0.10363636363636364</v>
      </c>
      <c r="AM33" s="239" t="s">
        <v>110</v>
      </c>
    </row>
    <row r="34" spans="1:39" s="7" customFormat="1" ht="12.75" customHeight="1" thickBot="1" x14ac:dyDescent="0.25">
      <c r="A34" s="400"/>
      <c r="B34" s="403"/>
      <c r="C34" s="46" t="s">
        <v>23</v>
      </c>
      <c r="D34" s="71" t="s">
        <v>67</v>
      </c>
      <c r="E34" s="285">
        <v>3000</v>
      </c>
      <c r="F34" s="285">
        <v>950</v>
      </c>
      <c r="G34" s="296">
        <v>3</v>
      </c>
      <c r="H34" s="231">
        <v>660</v>
      </c>
      <c r="I34" s="47">
        <f t="shared" si="0"/>
        <v>30</v>
      </c>
      <c r="J34" s="48">
        <f t="shared" si="4"/>
        <v>209</v>
      </c>
      <c r="K34" s="232"/>
      <c r="L34" s="232"/>
      <c r="M34" s="232">
        <v>421</v>
      </c>
      <c r="N34" s="232"/>
      <c r="O34" s="232"/>
      <c r="P34" s="232"/>
      <c r="Q34" s="232"/>
      <c r="R34" s="232"/>
      <c r="S34" s="232"/>
      <c r="T34" s="232"/>
      <c r="U34" s="232"/>
      <c r="V34" s="232"/>
      <c r="W34" s="232"/>
      <c r="X34" s="232"/>
      <c r="Y34" s="232"/>
      <c r="Z34" s="232">
        <v>30</v>
      </c>
      <c r="AA34" s="232"/>
      <c r="AB34" s="232"/>
      <c r="AC34" s="232"/>
      <c r="AD34" s="232"/>
      <c r="AE34" s="232"/>
      <c r="AF34" s="232"/>
      <c r="AG34" s="232"/>
      <c r="AH34" s="49">
        <f t="shared" si="9"/>
        <v>451</v>
      </c>
      <c r="AI34" s="6">
        <f t="shared" si="5"/>
        <v>0.31666666666666665</v>
      </c>
      <c r="AJ34" s="6">
        <f t="shared" si="6"/>
        <v>0.31666666666666665</v>
      </c>
      <c r="AK34" s="6">
        <f t="shared" si="2"/>
        <v>0.99685204616998946</v>
      </c>
      <c r="AL34" s="6">
        <f t="shared" si="3"/>
        <v>9.9962107963157271E-2</v>
      </c>
      <c r="AM34" s="239" t="s">
        <v>109</v>
      </c>
    </row>
    <row r="35" spans="1:39" s="7" customFormat="1" ht="12.75" customHeight="1" thickBot="1" x14ac:dyDescent="0.25">
      <c r="A35" s="401"/>
      <c r="B35" s="404"/>
      <c r="C35" s="54" t="s">
        <v>23</v>
      </c>
      <c r="D35" s="72" t="s">
        <v>66</v>
      </c>
      <c r="E35" s="286">
        <v>3000</v>
      </c>
      <c r="F35" s="286">
        <v>1410</v>
      </c>
      <c r="G35" s="297">
        <v>13</v>
      </c>
      <c r="H35" s="237">
        <v>660</v>
      </c>
      <c r="I35" s="279">
        <f t="shared" si="0"/>
        <v>30</v>
      </c>
      <c r="J35" s="56">
        <f t="shared" si="4"/>
        <v>310</v>
      </c>
      <c r="K35" s="238"/>
      <c r="L35" s="238"/>
      <c r="M35" s="238">
        <v>320</v>
      </c>
      <c r="N35" s="238"/>
      <c r="O35" s="238"/>
      <c r="P35" s="238"/>
      <c r="Q35" s="238"/>
      <c r="R35" s="238"/>
      <c r="S35" s="238"/>
      <c r="T35" s="238"/>
      <c r="U35" s="238"/>
      <c r="V35" s="238"/>
      <c r="W35" s="238"/>
      <c r="X35" s="238"/>
      <c r="Y35" s="238"/>
      <c r="Z35" s="238">
        <v>30</v>
      </c>
      <c r="AA35" s="238"/>
      <c r="AB35" s="238"/>
      <c r="AC35" s="238"/>
      <c r="AD35" s="238"/>
      <c r="AE35" s="238"/>
      <c r="AF35" s="238"/>
      <c r="AG35" s="238"/>
      <c r="AH35" s="57">
        <f t="shared" si="9"/>
        <v>350</v>
      </c>
      <c r="AI35" s="41">
        <f t="shared" si="5"/>
        <v>0.46969696969696972</v>
      </c>
      <c r="AJ35" s="41">
        <f t="shared" si="6"/>
        <v>0.47</v>
      </c>
      <c r="AK35" s="41">
        <f t="shared" si="2"/>
        <v>0.99086437104708358</v>
      </c>
      <c r="AL35" s="41">
        <f t="shared" si="3"/>
        <v>0.21874081645690921</v>
      </c>
      <c r="AM35" s="239" t="s">
        <v>109</v>
      </c>
    </row>
    <row r="36" spans="1:39" s="7" customFormat="1" ht="12.75" customHeight="1" thickBot="1" x14ac:dyDescent="0.25">
      <c r="A36" s="399">
        <f t="shared" ref="A36" si="24">A33+1</f>
        <v>46033</v>
      </c>
      <c r="B36" s="402">
        <f t="shared" ref="B36" si="25">A36</f>
        <v>46033</v>
      </c>
      <c r="C36" s="50" t="s">
        <v>23</v>
      </c>
      <c r="D36" s="68" t="s">
        <v>65</v>
      </c>
      <c r="E36" s="284">
        <v>2000</v>
      </c>
      <c r="F36" s="284">
        <v>800</v>
      </c>
      <c r="G36" s="224">
        <v>0</v>
      </c>
      <c r="H36" s="225">
        <v>660</v>
      </c>
      <c r="I36" s="51">
        <f t="shared" si="0"/>
        <v>30</v>
      </c>
      <c r="J36" s="52">
        <f t="shared" si="4"/>
        <v>264</v>
      </c>
      <c r="K36" s="226"/>
      <c r="L36" s="226"/>
      <c r="M36" s="226">
        <v>366</v>
      </c>
      <c r="N36" s="226"/>
      <c r="O36" s="226"/>
      <c r="P36" s="226"/>
      <c r="Q36" s="226"/>
      <c r="R36" s="226"/>
      <c r="S36" s="226"/>
      <c r="T36" s="226"/>
      <c r="U36" s="226"/>
      <c r="V36" s="226"/>
      <c r="W36" s="226"/>
      <c r="X36" s="226"/>
      <c r="Y36" s="226"/>
      <c r="Z36" s="226">
        <v>30</v>
      </c>
      <c r="AA36" s="226"/>
      <c r="AB36" s="226"/>
      <c r="AC36" s="226"/>
      <c r="AD36" s="226"/>
      <c r="AE36" s="226"/>
      <c r="AF36" s="226"/>
      <c r="AG36" s="226"/>
      <c r="AH36" s="53">
        <f t="shared" si="9"/>
        <v>396</v>
      </c>
      <c r="AI36" s="39">
        <f t="shared" si="5"/>
        <v>0.4</v>
      </c>
      <c r="AJ36" s="39">
        <f t="shared" si="6"/>
        <v>0.4</v>
      </c>
      <c r="AK36" s="39">
        <f t="shared" si="2"/>
        <v>1</v>
      </c>
      <c r="AL36" s="39">
        <f t="shared" si="3"/>
        <v>0.16000000000000003</v>
      </c>
      <c r="AM36" s="239" t="s">
        <v>110</v>
      </c>
    </row>
    <row r="37" spans="1:39" s="7" customFormat="1" ht="12.75" customHeight="1" thickBot="1" x14ac:dyDescent="0.25">
      <c r="A37" s="400"/>
      <c r="B37" s="403"/>
      <c r="C37" s="46" t="s">
        <v>23</v>
      </c>
      <c r="D37" s="71" t="s">
        <v>67</v>
      </c>
      <c r="E37" s="285">
        <v>3000</v>
      </c>
      <c r="F37" s="285">
        <v>1470</v>
      </c>
      <c r="G37" s="296">
        <v>1</v>
      </c>
      <c r="H37" s="231">
        <v>660</v>
      </c>
      <c r="I37" s="47">
        <f t="shared" si="0"/>
        <v>30</v>
      </c>
      <c r="J37" s="48">
        <f t="shared" si="4"/>
        <v>323</v>
      </c>
      <c r="K37" s="232"/>
      <c r="L37" s="232"/>
      <c r="M37" s="232">
        <v>307</v>
      </c>
      <c r="N37" s="232"/>
      <c r="O37" s="232"/>
      <c r="P37" s="232"/>
      <c r="Q37" s="232"/>
      <c r="R37" s="232"/>
      <c r="S37" s="232"/>
      <c r="T37" s="232"/>
      <c r="U37" s="232"/>
      <c r="V37" s="232"/>
      <c r="W37" s="232"/>
      <c r="X37" s="232"/>
      <c r="Y37" s="232"/>
      <c r="Z37" s="232">
        <v>30</v>
      </c>
      <c r="AA37" s="232"/>
      <c r="AB37" s="232"/>
      <c r="AC37" s="232"/>
      <c r="AD37" s="232"/>
      <c r="AE37" s="232"/>
      <c r="AF37" s="232"/>
      <c r="AG37" s="232"/>
      <c r="AH37" s="49">
        <f t="shared" si="9"/>
        <v>337</v>
      </c>
      <c r="AI37" s="6">
        <f t="shared" si="5"/>
        <v>0.48939393939393938</v>
      </c>
      <c r="AJ37" s="6">
        <f t="shared" si="6"/>
        <v>0.49</v>
      </c>
      <c r="AK37" s="6">
        <f t="shared" si="2"/>
        <v>0.99932019034670294</v>
      </c>
      <c r="AL37" s="6">
        <f t="shared" si="3"/>
        <v>0.23964000988814041</v>
      </c>
      <c r="AM37" s="239" t="s">
        <v>109</v>
      </c>
    </row>
    <row r="38" spans="1:39" s="7" customFormat="1" ht="12.75" customHeight="1" thickBot="1" x14ac:dyDescent="0.25">
      <c r="A38" s="401"/>
      <c r="B38" s="404"/>
      <c r="C38" s="54" t="s">
        <v>23</v>
      </c>
      <c r="D38" s="72" t="s">
        <v>66</v>
      </c>
      <c r="E38" s="286">
        <v>3000</v>
      </c>
      <c r="F38" s="286">
        <v>1040</v>
      </c>
      <c r="G38" s="297">
        <v>5</v>
      </c>
      <c r="H38" s="237">
        <v>660</v>
      </c>
      <c r="I38" s="279">
        <f t="shared" si="0"/>
        <v>30</v>
      </c>
      <c r="J38" s="56">
        <f t="shared" si="4"/>
        <v>199</v>
      </c>
      <c r="K38" s="238"/>
      <c r="L38" s="238"/>
      <c r="M38" s="238">
        <v>431</v>
      </c>
      <c r="N38" s="238"/>
      <c r="O38" s="238"/>
      <c r="P38" s="238"/>
      <c r="Q38" s="238"/>
      <c r="R38" s="238"/>
      <c r="S38" s="238"/>
      <c r="T38" s="238"/>
      <c r="U38" s="238"/>
      <c r="V38" s="238"/>
      <c r="W38" s="238"/>
      <c r="X38" s="238"/>
      <c r="Y38" s="238"/>
      <c r="Z38" s="238">
        <v>30</v>
      </c>
      <c r="AA38" s="238"/>
      <c r="AB38" s="238"/>
      <c r="AC38" s="238"/>
      <c r="AD38" s="238"/>
      <c r="AE38" s="238"/>
      <c r="AF38" s="238"/>
      <c r="AG38" s="238"/>
      <c r="AH38" s="57">
        <f t="shared" si="9"/>
        <v>461</v>
      </c>
      <c r="AI38" s="41">
        <f t="shared" si="5"/>
        <v>0.30151515151515151</v>
      </c>
      <c r="AJ38" s="41">
        <f t="shared" si="6"/>
        <v>0.34666666666666668</v>
      </c>
      <c r="AK38" s="41">
        <f t="shared" si="2"/>
        <v>0.99521531100478466</v>
      </c>
      <c r="AL38" s="41">
        <f t="shared" si="3"/>
        <v>0.10402513169977286</v>
      </c>
      <c r="AM38" s="239" t="s">
        <v>109</v>
      </c>
    </row>
    <row r="39" spans="1:39" s="7" customFormat="1" ht="12.75" customHeight="1" thickBot="1" x14ac:dyDescent="0.25">
      <c r="A39" s="399">
        <f t="shared" ref="A39" si="26">A36+1</f>
        <v>46034</v>
      </c>
      <c r="B39" s="402">
        <f t="shared" ref="B39" si="27">A39</f>
        <v>46034</v>
      </c>
      <c r="C39" s="50" t="s">
        <v>23</v>
      </c>
      <c r="D39" s="68" t="s">
        <v>65</v>
      </c>
      <c r="E39" s="284">
        <v>2000</v>
      </c>
      <c r="F39" s="284">
        <v>1361</v>
      </c>
      <c r="G39" s="224">
        <v>0</v>
      </c>
      <c r="H39" s="225">
        <v>660</v>
      </c>
      <c r="I39" s="51">
        <f t="shared" si="0"/>
        <v>30</v>
      </c>
      <c r="J39" s="52">
        <f t="shared" si="4"/>
        <v>479</v>
      </c>
      <c r="K39" s="226"/>
      <c r="L39" s="226"/>
      <c r="M39" s="226">
        <v>151</v>
      </c>
      <c r="N39" s="226"/>
      <c r="O39" s="226"/>
      <c r="P39" s="226"/>
      <c r="Q39" s="226"/>
      <c r="R39" s="226"/>
      <c r="S39" s="226"/>
      <c r="T39" s="226"/>
      <c r="U39" s="226"/>
      <c r="V39" s="226"/>
      <c r="W39" s="226"/>
      <c r="X39" s="226"/>
      <c r="Y39" s="226"/>
      <c r="Z39" s="226">
        <v>30</v>
      </c>
      <c r="AA39" s="226"/>
      <c r="AB39" s="226"/>
      <c r="AC39" s="226"/>
      <c r="AD39" s="226"/>
      <c r="AE39" s="226"/>
      <c r="AF39" s="226"/>
      <c r="AG39" s="226"/>
      <c r="AH39" s="53">
        <f t="shared" si="9"/>
        <v>181</v>
      </c>
      <c r="AI39" s="39">
        <f t="shared" si="5"/>
        <v>0.72575757575757571</v>
      </c>
      <c r="AJ39" s="39">
        <f t="shared" si="6"/>
        <v>0.68049999999999999</v>
      </c>
      <c r="AK39" s="39">
        <f t="shared" si="2"/>
        <v>1</v>
      </c>
      <c r="AL39" s="39">
        <f t="shared" si="3"/>
        <v>0.49387803030303029</v>
      </c>
      <c r="AM39" s="239" t="s">
        <v>110</v>
      </c>
    </row>
    <row r="40" spans="1:39" s="7" customFormat="1" ht="12.75" customHeight="1" thickBot="1" x14ac:dyDescent="0.25">
      <c r="A40" s="400"/>
      <c r="B40" s="403"/>
      <c r="C40" s="46" t="s">
        <v>23</v>
      </c>
      <c r="D40" s="71" t="s">
        <v>67</v>
      </c>
      <c r="E40" s="285">
        <v>3000</v>
      </c>
      <c r="F40" s="285">
        <v>1030</v>
      </c>
      <c r="G40" s="296">
        <v>1</v>
      </c>
      <c r="H40" s="231">
        <v>660</v>
      </c>
      <c r="I40" s="47">
        <f t="shared" si="0"/>
        <v>30</v>
      </c>
      <c r="J40" s="48">
        <f t="shared" si="4"/>
        <v>227</v>
      </c>
      <c r="K40" s="232"/>
      <c r="L40" s="232"/>
      <c r="M40" s="232">
        <v>403</v>
      </c>
      <c r="N40" s="232"/>
      <c r="O40" s="232"/>
      <c r="P40" s="232"/>
      <c r="Q40" s="232"/>
      <c r="R40" s="232"/>
      <c r="S40" s="232"/>
      <c r="T40" s="232"/>
      <c r="U40" s="232"/>
      <c r="V40" s="232"/>
      <c r="W40" s="232"/>
      <c r="X40" s="232"/>
      <c r="Y40" s="232"/>
      <c r="Z40" s="232">
        <v>30</v>
      </c>
      <c r="AA40" s="232"/>
      <c r="AB40" s="232"/>
      <c r="AC40" s="232"/>
      <c r="AD40" s="232"/>
      <c r="AE40" s="232"/>
      <c r="AF40" s="232"/>
      <c r="AG40" s="232"/>
      <c r="AH40" s="49">
        <f t="shared" si="9"/>
        <v>433</v>
      </c>
      <c r="AI40" s="6">
        <f t="shared" si="5"/>
        <v>0.34393939393939393</v>
      </c>
      <c r="AJ40" s="6">
        <f t="shared" si="6"/>
        <v>0.34333333333333332</v>
      </c>
      <c r="AK40" s="6">
        <f t="shared" si="2"/>
        <v>0.99903006789524729</v>
      </c>
      <c r="AL40" s="6">
        <f t="shared" si="3"/>
        <v>0.11797132332049887</v>
      </c>
      <c r="AM40" s="239" t="s">
        <v>109</v>
      </c>
    </row>
    <row r="41" spans="1:39" s="7" customFormat="1" ht="12.75" customHeight="1" thickBot="1" x14ac:dyDescent="0.25">
      <c r="A41" s="401"/>
      <c r="B41" s="404"/>
      <c r="C41" s="54" t="s">
        <v>23</v>
      </c>
      <c r="D41" s="72" t="s">
        <v>66</v>
      </c>
      <c r="E41" s="286">
        <v>3000</v>
      </c>
      <c r="F41" s="286">
        <v>1550</v>
      </c>
      <c r="G41" s="297">
        <v>2</v>
      </c>
      <c r="H41" s="237">
        <v>660</v>
      </c>
      <c r="I41" s="279">
        <f t="shared" si="0"/>
        <v>30</v>
      </c>
      <c r="J41" s="56">
        <f t="shared" si="4"/>
        <v>341</v>
      </c>
      <c r="K41" s="238"/>
      <c r="L41" s="238"/>
      <c r="M41" s="238">
        <v>289</v>
      </c>
      <c r="N41" s="238"/>
      <c r="O41" s="238"/>
      <c r="P41" s="238"/>
      <c r="Q41" s="238"/>
      <c r="R41" s="238"/>
      <c r="S41" s="238"/>
      <c r="T41" s="238"/>
      <c r="U41" s="238"/>
      <c r="V41" s="238"/>
      <c r="W41" s="238"/>
      <c r="X41" s="238"/>
      <c r="Y41" s="238"/>
      <c r="Z41" s="238">
        <v>30</v>
      </c>
      <c r="AA41" s="238"/>
      <c r="AB41" s="238"/>
      <c r="AC41" s="238"/>
      <c r="AD41" s="238"/>
      <c r="AE41" s="238"/>
      <c r="AF41" s="238"/>
      <c r="AG41" s="238"/>
      <c r="AH41" s="57">
        <f t="shared" si="9"/>
        <v>319</v>
      </c>
      <c r="AI41" s="41">
        <f t="shared" si="5"/>
        <v>0.51666666666666672</v>
      </c>
      <c r="AJ41" s="41">
        <f t="shared" si="6"/>
        <v>0.51666666666666672</v>
      </c>
      <c r="AK41" s="41">
        <f t="shared" si="2"/>
        <v>0.99871134020618557</v>
      </c>
      <c r="AL41" s="41">
        <f t="shared" si="3"/>
        <v>0.26660044387170684</v>
      </c>
      <c r="AM41" s="239" t="s">
        <v>109</v>
      </c>
    </row>
    <row r="42" spans="1:39" s="7" customFormat="1" ht="12.75" customHeight="1" thickBot="1" x14ac:dyDescent="0.25">
      <c r="A42" s="399">
        <f t="shared" ref="A42" si="28">A39+1</f>
        <v>46035</v>
      </c>
      <c r="B42" s="402">
        <f t="shared" ref="B42" si="29">A42</f>
        <v>46035</v>
      </c>
      <c r="C42" s="50" t="s">
        <v>23</v>
      </c>
      <c r="D42" s="68" t="s">
        <v>65</v>
      </c>
      <c r="E42" s="284">
        <v>2000</v>
      </c>
      <c r="F42" s="284">
        <v>1500</v>
      </c>
      <c r="G42" s="224">
        <v>0</v>
      </c>
      <c r="H42" s="225">
        <v>660</v>
      </c>
      <c r="I42" s="51">
        <f t="shared" si="0"/>
        <v>30</v>
      </c>
      <c r="J42" s="52">
        <f t="shared" si="4"/>
        <v>330</v>
      </c>
      <c r="K42" s="226"/>
      <c r="L42" s="226"/>
      <c r="M42" s="226">
        <v>300</v>
      </c>
      <c r="N42" s="226"/>
      <c r="O42" s="226"/>
      <c r="P42" s="226"/>
      <c r="Q42" s="226"/>
      <c r="R42" s="226"/>
      <c r="S42" s="226"/>
      <c r="T42" s="226"/>
      <c r="U42" s="226"/>
      <c r="V42" s="226"/>
      <c r="W42" s="226"/>
      <c r="X42" s="226"/>
      <c r="Y42" s="226"/>
      <c r="Z42" s="226">
        <v>30</v>
      </c>
      <c r="AA42" s="226"/>
      <c r="AB42" s="226"/>
      <c r="AC42" s="226"/>
      <c r="AD42" s="226"/>
      <c r="AE42" s="226"/>
      <c r="AF42" s="226"/>
      <c r="AG42" s="226"/>
      <c r="AH42" s="53">
        <f t="shared" si="9"/>
        <v>330</v>
      </c>
      <c r="AI42" s="39">
        <f t="shared" si="5"/>
        <v>0.5</v>
      </c>
      <c r="AJ42" s="39">
        <f t="shared" si="6"/>
        <v>0.75</v>
      </c>
      <c r="AK42" s="39">
        <f t="shared" si="2"/>
        <v>1</v>
      </c>
      <c r="AL42" s="39">
        <f t="shared" si="3"/>
        <v>0.375</v>
      </c>
      <c r="AM42" s="239" t="s">
        <v>110</v>
      </c>
    </row>
    <row r="43" spans="1:39" s="7" customFormat="1" ht="12.75" customHeight="1" thickBot="1" x14ac:dyDescent="0.25">
      <c r="A43" s="400"/>
      <c r="B43" s="403"/>
      <c r="C43" s="46" t="s">
        <v>23</v>
      </c>
      <c r="D43" s="71" t="s">
        <v>67</v>
      </c>
      <c r="E43" s="285">
        <v>3000</v>
      </c>
      <c r="F43" s="285">
        <v>1750</v>
      </c>
      <c r="G43" s="296">
        <v>1</v>
      </c>
      <c r="H43" s="231">
        <v>660</v>
      </c>
      <c r="I43" s="47">
        <f t="shared" si="0"/>
        <v>30</v>
      </c>
      <c r="J43" s="48">
        <f t="shared" si="4"/>
        <v>385</v>
      </c>
      <c r="K43" s="232"/>
      <c r="L43" s="232"/>
      <c r="M43" s="232">
        <v>245</v>
      </c>
      <c r="N43" s="232"/>
      <c r="O43" s="232"/>
      <c r="P43" s="232"/>
      <c r="Q43" s="232"/>
      <c r="R43" s="232"/>
      <c r="S43" s="232"/>
      <c r="T43" s="232"/>
      <c r="U43" s="232"/>
      <c r="V43" s="232"/>
      <c r="W43" s="232"/>
      <c r="X43" s="232"/>
      <c r="Y43" s="232"/>
      <c r="Z43" s="232">
        <v>30</v>
      </c>
      <c r="AA43" s="232"/>
      <c r="AB43" s="232"/>
      <c r="AC43" s="232"/>
      <c r="AD43" s="232"/>
      <c r="AE43" s="232"/>
      <c r="AF43" s="232"/>
      <c r="AG43" s="232"/>
      <c r="AH43" s="49">
        <f t="shared" si="9"/>
        <v>275</v>
      </c>
      <c r="AI43" s="6">
        <f t="shared" si="5"/>
        <v>0.58333333333333337</v>
      </c>
      <c r="AJ43" s="6">
        <f t="shared" si="6"/>
        <v>0.58333333333333337</v>
      </c>
      <c r="AK43" s="6">
        <f t="shared" si="2"/>
        <v>0.99942889777270127</v>
      </c>
      <c r="AL43" s="6">
        <f t="shared" si="3"/>
        <v>0.3400834443809887</v>
      </c>
      <c r="AM43" s="239" t="s">
        <v>109</v>
      </c>
    </row>
    <row r="44" spans="1:39" s="7" customFormat="1" ht="12.75" customHeight="1" thickBot="1" x14ac:dyDescent="0.25">
      <c r="A44" s="401"/>
      <c r="B44" s="404"/>
      <c r="C44" s="54" t="s">
        <v>23</v>
      </c>
      <c r="D44" s="72" t="s">
        <v>66</v>
      </c>
      <c r="E44" s="286">
        <v>3000</v>
      </c>
      <c r="F44" s="286">
        <v>1780</v>
      </c>
      <c r="G44" s="297">
        <v>7</v>
      </c>
      <c r="H44" s="237">
        <v>660</v>
      </c>
      <c r="I44" s="279">
        <f t="shared" si="0"/>
        <v>30</v>
      </c>
      <c r="J44" s="56">
        <f t="shared" si="4"/>
        <v>392</v>
      </c>
      <c r="K44" s="238"/>
      <c r="L44" s="238"/>
      <c r="M44" s="238">
        <v>238</v>
      </c>
      <c r="N44" s="238"/>
      <c r="O44" s="238"/>
      <c r="P44" s="238"/>
      <c r="Q44" s="238"/>
      <c r="R44" s="238"/>
      <c r="S44" s="238"/>
      <c r="T44" s="238"/>
      <c r="U44" s="238"/>
      <c r="V44" s="238"/>
      <c r="W44" s="238"/>
      <c r="X44" s="238"/>
      <c r="Y44" s="238"/>
      <c r="Z44" s="238">
        <v>30</v>
      </c>
      <c r="AA44" s="238"/>
      <c r="AB44" s="238"/>
      <c r="AC44" s="238"/>
      <c r="AD44" s="238"/>
      <c r="AE44" s="238"/>
      <c r="AF44" s="238"/>
      <c r="AG44" s="238"/>
      <c r="AH44" s="57">
        <f t="shared" si="9"/>
        <v>268</v>
      </c>
      <c r="AI44" s="41">
        <f t="shared" si="5"/>
        <v>0.59393939393939399</v>
      </c>
      <c r="AJ44" s="41">
        <f t="shared" si="6"/>
        <v>0.59333333333333338</v>
      </c>
      <c r="AK44" s="41">
        <f t="shared" si="2"/>
        <v>0.99608282036933404</v>
      </c>
      <c r="AL44" s="41">
        <f t="shared" si="3"/>
        <v>0.35102361047520542</v>
      </c>
      <c r="AM44" s="239" t="s">
        <v>109</v>
      </c>
    </row>
    <row r="45" spans="1:39" s="7" customFormat="1" ht="12.75" customHeight="1" thickBot="1" x14ac:dyDescent="0.25">
      <c r="A45" s="399">
        <f t="shared" ref="A45" si="30">A42+1</f>
        <v>46036</v>
      </c>
      <c r="B45" s="402">
        <f t="shared" ref="B45" si="31">A45</f>
        <v>46036</v>
      </c>
      <c r="C45" s="50" t="s">
        <v>23</v>
      </c>
      <c r="D45" s="68" t="s">
        <v>65</v>
      </c>
      <c r="E45" s="284">
        <v>2000</v>
      </c>
      <c r="F45" s="284">
        <v>1600</v>
      </c>
      <c r="G45" s="224">
        <v>0</v>
      </c>
      <c r="H45" s="225">
        <v>660</v>
      </c>
      <c r="I45" s="51">
        <f t="shared" si="0"/>
        <v>30</v>
      </c>
      <c r="J45" s="52">
        <f t="shared" si="4"/>
        <v>528</v>
      </c>
      <c r="K45" s="226"/>
      <c r="L45" s="226"/>
      <c r="M45" s="226">
        <v>102</v>
      </c>
      <c r="N45" s="226"/>
      <c r="O45" s="226"/>
      <c r="P45" s="226"/>
      <c r="Q45" s="226"/>
      <c r="R45" s="226"/>
      <c r="S45" s="226"/>
      <c r="T45" s="226"/>
      <c r="U45" s="226"/>
      <c r="V45" s="226"/>
      <c r="W45" s="226"/>
      <c r="X45" s="226"/>
      <c r="Y45" s="226"/>
      <c r="Z45" s="226">
        <v>30</v>
      </c>
      <c r="AA45" s="226"/>
      <c r="AB45" s="226"/>
      <c r="AC45" s="226"/>
      <c r="AD45" s="226"/>
      <c r="AE45" s="226"/>
      <c r="AF45" s="226"/>
      <c r="AG45" s="226"/>
      <c r="AH45" s="53">
        <f t="shared" si="9"/>
        <v>132</v>
      </c>
      <c r="AI45" s="39">
        <f t="shared" si="5"/>
        <v>0.8</v>
      </c>
      <c r="AJ45" s="39">
        <f t="shared" si="6"/>
        <v>0.8</v>
      </c>
      <c r="AK45" s="39">
        <f t="shared" si="2"/>
        <v>1</v>
      </c>
      <c r="AL45" s="39">
        <f t="shared" si="3"/>
        <v>0.64000000000000012</v>
      </c>
      <c r="AM45" s="239" t="s">
        <v>110</v>
      </c>
    </row>
    <row r="46" spans="1:39" s="7" customFormat="1" ht="12.75" customHeight="1" thickBot="1" x14ac:dyDescent="0.25">
      <c r="A46" s="400"/>
      <c r="B46" s="403"/>
      <c r="C46" s="46" t="s">
        <v>23</v>
      </c>
      <c r="D46" s="71" t="s">
        <v>67</v>
      </c>
      <c r="E46" s="285">
        <v>3000</v>
      </c>
      <c r="F46" s="285">
        <v>1400</v>
      </c>
      <c r="G46" s="296">
        <v>2</v>
      </c>
      <c r="H46" s="231">
        <v>660</v>
      </c>
      <c r="I46" s="47">
        <f t="shared" si="0"/>
        <v>30</v>
      </c>
      <c r="J46" s="48">
        <f t="shared" si="4"/>
        <v>308</v>
      </c>
      <c r="K46" s="232"/>
      <c r="L46" s="232"/>
      <c r="M46" s="232">
        <v>322</v>
      </c>
      <c r="N46" s="232"/>
      <c r="O46" s="232"/>
      <c r="P46" s="232"/>
      <c r="Q46" s="232"/>
      <c r="R46" s="232"/>
      <c r="S46" s="232"/>
      <c r="T46" s="232"/>
      <c r="U46" s="232"/>
      <c r="V46" s="232"/>
      <c r="W46" s="232"/>
      <c r="X46" s="232"/>
      <c r="Y46" s="232"/>
      <c r="Z46" s="232">
        <v>30</v>
      </c>
      <c r="AA46" s="232"/>
      <c r="AB46" s="232"/>
      <c r="AC46" s="232"/>
      <c r="AD46" s="232"/>
      <c r="AE46" s="232"/>
      <c r="AF46" s="232"/>
      <c r="AG46" s="232"/>
      <c r="AH46" s="49">
        <f t="shared" si="9"/>
        <v>352</v>
      </c>
      <c r="AI46" s="6">
        <f t="shared" si="5"/>
        <v>0.46666666666666667</v>
      </c>
      <c r="AJ46" s="6">
        <f t="shared" si="6"/>
        <v>0.46666666666666667</v>
      </c>
      <c r="AK46" s="6">
        <f t="shared" si="2"/>
        <v>0.99857346647646217</v>
      </c>
      <c r="AL46" s="6">
        <f t="shared" si="3"/>
        <v>0.21746711047709621</v>
      </c>
      <c r="AM46" s="239" t="s">
        <v>109</v>
      </c>
    </row>
    <row r="47" spans="1:39" s="7" customFormat="1" ht="12.75" customHeight="1" thickBot="1" x14ac:dyDescent="0.25">
      <c r="A47" s="401"/>
      <c r="B47" s="404"/>
      <c r="C47" s="54" t="s">
        <v>23</v>
      </c>
      <c r="D47" s="72" t="s">
        <v>66</v>
      </c>
      <c r="E47" s="286">
        <v>3000</v>
      </c>
      <c r="F47" s="286">
        <v>1540</v>
      </c>
      <c r="G47" s="297">
        <v>2</v>
      </c>
      <c r="H47" s="237">
        <v>660</v>
      </c>
      <c r="I47" s="279">
        <f t="shared" si="0"/>
        <v>30</v>
      </c>
      <c r="J47" s="56">
        <f t="shared" si="4"/>
        <v>339</v>
      </c>
      <c r="K47" s="238"/>
      <c r="L47" s="238"/>
      <c r="M47" s="238">
        <v>291</v>
      </c>
      <c r="N47" s="238"/>
      <c r="O47" s="238"/>
      <c r="P47" s="238"/>
      <c r="Q47" s="238"/>
      <c r="R47" s="238"/>
      <c r="S47" s="238"/>
      <c r="T47" s="238"/>
      <c r="U47" s="238"/>
      <c r="V47" s="238"/>
      <c r="W47" s="238"/>
      <c r="X47" s="238"/>
      <c r="Y47" s="238"/>
      <c r="Z47" s="238">
        <v>30</v>
      </c>
      <c r="AA47" s="238"/>
      <c r="AB47" s="238"/>
      <c r="AC47" s="238"/>
      <c r="AD47" s="238"/>
      <c r="AE47" s="238"/>
      <c r="AF47" s="238"/>
      <c r="AG47" s="238"/>
      <c r="AH47" s="57">
        <f t="shared" si="9"/>
        <v>321</v>
      </c>
      <c r="AI47" s="41">
        <f t="shared" si="5"/>
        <v>0.51363636363636367</v>
      </c>
      <c r="AJ47" s="41">
        <f t="shared" si="6"/>
        <v>0.51333333333333331</v>
      </c>
      <c r="AK47" s="41">
        <f t="shared" si="2"/>
        <v>0.99870298313878081</v>
      </c>
      <c r="AL47" s="41">
        <f t="shared" si="3"/>
        <v>0.26332468655425856</v>
      </c>
      <c r="AM47" s="239" t="s">
        <v>109</v>
      </c>
    </row>
    <row r="48" spans="1:39" s="7" customFormat="1" ht="12.75" customHeight="1" thickBot="1" x14ac:dyDescent="0.25">
      <c r="A48" s="399">
        <f t="shared" ref="A48" si="32">A45+1</f>
        <v>46037</v>
      </c>
      <c r="B48" s="402">
        <f t="shared" ref="B48" si="33">A48</f>
        <v>46037</v>
      </c>
      <c r="C48" s="50" t="s">
        <v>23</v>
      </c>
      <c r="D48" s="68" t="s">
        <v>65</v>
      </c>
      <c r="E48" s="284">
        <v>2000</v>
      </c>
      <c r="F48" s="284">
        <v>680</v>
      </c>
      <c r="G48" s="224">
        <v>0</v>
      </c>
      <c r="H48" s="225">
        <v>660</v>
      </c>
      <c r="I48" s="51">
        <f t="shared" si="0"/>
        <v>30</v>
      </c>
      <c r="J48" s="52">
        <f t="shared" si="4"/>
        <v>224</v>
      </c>
      <c r="K48" s="226"/>
      <c r="L48" s="226"/>
      <c r="M48" s="226">
        <v>406</v>
      </c>
      <c r="N48" s="226"/>
      <c r="O48" s="226"/>
      <c r="P48" s="226"/>
      <c r="Q48" s="226"/>
      <c r="R48" s="226"/>
      <c r="S48" s="226"/>
      <c r="T48" s="226"/>
      <c r="U48" s="226"/>
      <c r="V48" s="226"/>
      <c r="W48" s="226"/>
      <c r="X48" s="226"/>
      <c r="Y48" s="226"/>
      <c r="Z48" s="226">
        <v>30</v>
      </c>
      <c r="AA48" s="226"/>
      <c r="AB48" s="226"/>
      <c r="AC48" s="226"/>
      <c r="AD48" s="226"/>
      <c r="AE48" s="226"/>
      <c r="AF48" s="226"/>
      <c r="AG48" s="226"/>
      <c r="AH48" s="53">
        <f t="shared" si="9"/>
        <v>436</v>
      </c>
      <c r="AI48" s="39">
        <f t="shared" si="5"/>
        <v>0.33939393939393941</v>
      </c>
      <c r="AJ48" s="39">
        <f t="shared" si="6"/>
        <v>0.34</v>
      </c>
      <c r="AK48" s="39">
        <f t="shared" si="2"/>
        <v>1</v>
      </c>
      <c r="AL48" s="39">
        <f t="shared" si="3"/>
        <v>0.11539393939393941</v>
      </c>
      <c r="AM48" s="239" t="s">
        <v>110</v>
      </c>
    </row>
    <row r="49" spans="1:39" s="7" customFormat="1" ht="12.75" customHeight="1" thickBot="1" x14ac:dyDescent="0.25">
      <c r="A49" s="400"/>
      <c r="B49" s="403"/>
      <c r="C49" s="46" t="s">
        <v>23</v>
      </c>
      <c r="D49" s="71" t="s">
        <v>67</v>
      </c>
      <c r="E49" s="285">
        <v>3000</v>
      </c>
      <c r="F49" s="285">
        <v>1490</v>
      </c>
      <c r="G49" s="296">
        <v>2</v>
      </c>
      <c r="H49" s="231">
        <v>660</v>
      </c>
      <c r="I49" s="47">
        <f t="shared" si="0"/>
        <v>30</v>
      </c>
      <c r="J49" s="48">
        <f t="shared" si="4"/>
        <v>328</v>
      </c>
      <c r="K49" s="232"/>
      <c r="L49" s="232"/>
      <c r="M49" s="232">
        <v>302</v>
      </c>
      <c r="N49" s="232"/>
      <c r="O49" s="232"/>
      <c r="P49" s="232"/>
      <c r="Q49" s="232"/>
      <c r="R49" s="232"/>
      <c r="S49" s="232"/>
      <c r="T49" s="232"/>
      <c r="U49" s="232"/>
      <c r="V49" s="232"/>
      <c r="W49" s="232"/>
      <c r="X49" s="232"/>
      <c r="Y49" s="232"/>
      <c r="Z49" s="232">
        <v>30</v>
      </c>
      <c r="AA49" s="232"/>
      <c r="AB49" s="232"/>
      <c r="AC49" s="232"/>
      <c r="AD49" s="232"/>
      <c r="AE49" s="232"/>
      <c r="AF49" s="232"/>
      <c r="AG49" s="232"/>
      <c r="AH49" s="49">
        <f t="shared" si="9"/>
        <v>332</v>
      </c>
      <c r="AI49" s="6">
        <f t="shared" si="5"/>
        <v>0.49696969696969695</v>
      </c>
      <c r="AJ49" s="6">
        <f t="shared" si="6"/>
        <v>0.49666666666666665</v>
      </c>
      <c r="AK49" s="6">
        <f t="shared" si="2"/>
        <v>0.99865951742627346</v>
      </c>
      <c r="AL49" s="6">
        <f t="shared" si="3"/>
        <v>0.24649741381644866</v>
      </c>
      <c r="AM49" s="239" t="s">
        <v>109</v>
      </c>
    </row>
    <row r="50" spans="1:39" s="7" customFormat="1" ht="12.75" customHeight="1" thickBot="1" x14ac:dyDescent="0.25">
      <c r="A50" s="401"/>
      <c r="B50" s="404"/>
      <c r="C50" s="54" t="s">
        <v>23</v>
      </c>
      <c r="D50" s="72" t="s">
        <v>66</v>
      </c>
      <c r="E50" s="286">
        <v>3000</v>
      </c>
      <c r="F50" s="286">
        <v>2150</v>
      </c>
      <c r="G50" s="297">
        <v>14</v>
      </c>
      <c r="H50" s="237">
        <v>660</v>
      </c>
      <c r="I50" s="279">
        <f t="shared" si="0"/>
        <v>30</v>
      </c>
      <c r="J50" s="56">
        <f t="shared" si="4"/>
        <v>473</v>
      </c>
      <c r="K50" s="238"/>
      <c r="L50" s="238"/>
      <c r="M50" s="238">
        <v>157</v>
      </c>
      <c r="N50" s="238"/>
      <c r="O50" s="238"/>
      <c r="P50" s="238"/>
      <c r="Q50" s="238"/>
      <c r="R50" s="238"/>
      <c r="S50" s="238"/>
      <c r="T50" s="238"/>
      <c r="U50" s="238"/>
      <c r="V50" s="238"/>
      <c r="W50" s="238"/>
      <c r="X50" s="238"/>
      <c r="Y50" s="238"/>
      <c r="Z50" s="238">
        <v>30</v>
      </c>
      <c r="AA50" s="238"/>
      <c r="AB50" s="238"/>
      <c r="AC50" s="238"/>
      <c r="AD50" s="238"/>
      <c r="AE50" s="238"/>
      <c r="AF50" s="238"/>
      <c r="AG50" s="238"/>
      <c r="AH50" s="57">
        <f t="shared" si="9"/>
        <v>187</v>
      </c>
      <c r="AI50" s="41">
        <f t="shared" si="5"/>
        <v>0.71666666666666667</v>
      </c>
      <c r="AJ50" s="41">
        <f t="shared" si="6"/>
        <v>0.71666666666666667</v>
      </c>
      <c r="AK50" s="41">
        <f t="shared" si="2"/>
        <v>0.99353049907578561</v>
      </c>
      <c r="AL50" s="41">
        <f t="shared" si="3"/>
        <v>0.51028830355309096</v>
      </c>
      <c r="AM50" s="239" t="s">
        <v>109</v>
      </c>
    </row>
    <row r="51" spans="1:39" s="7" customFormat="1" ht="12.75" customHeight="1" thickBot="1" x14ac:dyDescent="0.25">
      <c r="A51" s="399">
        <f t="shared" ref="A51" si="34">A48+1</f>
        <v>46038</v>
      </c>
      <c r="B51" s="402">
        <f t="shared" ref="B51" si="35">A51</f>
        <v>46038</v>
      </c>
      <c r="C51" s="50" t="s">
        <v>23</v>
      </c>
      <c r="D51" s="68" t="s">
        <v>65</v>
      </c>
      <c r="E51" s="284">
        <v>1450</v>
      </c>
      <c r="F51" s="284">
        <v>1120</v>
      </c>
      <c r="G51" s="224">
        <v>0</v>
      </c>
      <c r="H51" s="225">
        <v>480</v>
      </c>
      <c r="I51" s="51">
        <f t="shared" si="0"/>
        <v>30</v>
      </c>
      <c r="J51" s="52">
        <f t="shared" si="4"/>
        <v>371</v>
      </c>
      <c r="K51" s="226"/>
      <c r="L51" s="226"/>
      <c r="M51" s="226">
        <v>79</v>
      </c>
      <c r="N51" s="226"/>
      <c r="O51" s="226"/>
      <c r="P51" s="226"/>
      <c r="Q51" s="226"/>
      <c r="R51" s="226"/>
      <c r="S51" s="226"/>
      <c r="T51" s="226"/>
      <c r="U51" s="226"/>
      <c r="V51" s="226"/>
      <c r="W51" s="226"/>
      <c r="X51" s="226"/>
      <c r="Y51" s="226"/>
      <c r="Z51" s="226">
        <v>30</v>
      </c>
      <c r="AA51" s="226"/>
      <c r="AB51" s="226"/>
      <c r="AC51" s="226"/>
      <c r="AD51" s="226"/>
      <c r="AE51" s="226"/>
      <c r="AF51" s="226"/>
      <c r="AG51" s="226"/>
      <c r="AH51" s="53">
        <f t="shared" si="9"/>
        <v>109</v>
      </c>
      <c r="AI51" s="39">
        <f t="shared" si="5"/>
        <v>0.7729166666666667</v>
      </c>
      <c r="AJ51" s="39">
        <f t="shared" si="6"/>
        <v>0.77241379310344827</v>
      </c>
      <c r="AK51" s="39">
        <f t="shared" si="2"/>
        <v>1</v>
      </c>
      <c r="AL51" s="39">
        <f t="shared" si="3"/>
        <v>0.59701149425287359</v>
      </c>
      <c r="AM51" s="239"/>
    </row>
    <row r="52" spans="1:39" s="7" customFormat="1" ht="12.75" customHeight="1" thickBot="1" x14ac:dyDescent="0.25">
      <c r="A52" s="400"/>
      <c r="B52" s="403"/>
      <c r="C52" s="46" t="s">
        <v>23</v>
      </c>
      <c r="D52" s="71" t="s">
        <v>67</v>
      </c>
      <c r="E52" s="285">
        <v>2200</v>
      </c>
      <c r="F52" s="285">
        <v>970</v>
      </c>
      <c r="G52" s="230">
        <v>0</v>
      </c>
      <c r="H52" s="231">
        <v>480</v>
      </c>
      <c r="I52" s="47">
        <f t="shared" si="0"/>
        <v>30</v>
      </c>
      <c r="J52" s="48">
        <f t="shared" si="4"/>
        <v>212</v>
      </c>
      <c r="K52" s="232"/>
      <c r="L52" s="232"/>
      <c r="M52" s="232">
        <v>238</v>
      </c>
      <c r="N52" s="232"/>
      <c r="O52" s="232"/>
      <c r="P52" s="232"/>
      <c r="Q52" s="232"/>
      <c r="R52" s="232"/>
      <c r="S52" s="232"/>
      <c r="T52" s="232"/>
      <c r="U52" s="232"/>
      <c r="V52" s="232"/>
      <c r="W52" s="232"/>
      <c r="X52" s="232"/>
      <c r="Y52" s="232"/>
      <c r="Z52" s="232">
        <v>30</v>
      </c>
      <c r="AA52" s="232"/>
      <c r="AB52" s="232"/>
      <c r="AC52" s="232"/>
      <c r="AD52" s="232"/>
      <c r="AE52" s="232"/>
      <c r="AF52" s="232"/>
      <c r="AG52" s="232"/>
      <c r="AH52" s="49">
        <f t="shared" si="9"/>
        <v>268</v>
      </c>
      <c r="AI52" s="6">
        <f t="shared" si="5"/>
        <v>0.44166666666666665</v>
      </c>
      <c r="AJ52" s="6">
        <f t="shared" si="6"/>
        <v>0.44090909090909092</v>
      </c>
      <c r="AK52" s="6">
        <f t="shared" si="2"/>
        <v>1</v>
      </c>
      <c r="AL52" s="6">
        <f t="shared" si="3"/>
        <v>0.19473484848484848</v>
      </c>
      <c r="AM52" s="239" t="s">
        <v>109</v>
      </c>
    </row>
    <row r="53" spans="1:39" s="7" customFormat="1" ht="12.75" customHeight="1" thickBot="1" x14ac:dyDescent="0.25">
      <c r="A53" s="401"/>
      <c r="B53" s="404"/>
      <c r="C53" s="54" t="s">
        <v>23</v>
      </c>
      <c r="D53" s="72" t="s">
        <v>66</v>
      </c>
      <c r="E53" s="286">
        <v>2200</v>
      </c>
      <c r="F53" s="286">
        <v>1140</v>
      </c>
      <c r="G53" s="236">
        <v>0</v>
      </c>
      <c r="H53" s="237">
        <v>480</v>
      </c>
      <c r="I53" s="279">
        <f t="shared" si="0"/>
        <v>30</v>
      </c>
      <c r="J53" s="56">
        <f t="shared" si="4"/>
        <v>249</v>
      </c>
      <c r="K53" s="238"/>
      <c r="L53" s="238"/>
      <c r="M53" s="238">
        <v>201</v>
      </c>
      <c r="N53" s="238"/>
      <c r="O53" s="238"/>
      <c r="P53" s="238"/>
      <c r="Q53" s="238"/>
      <c r="R53" s="238"/>
      <c r="S53" s="238"/>
      <c r="T53" s="238"/>
      <c r="U53" s="238"/>
      <c r="V53" s="238"/>
      <c r="W53" s="238"/>
      <c r="X53" s="238"/>
      <c r="Y53" s="238"/>
      <c r="Z53" s="238">
        <v>30</v>
      </c>
      <c r="AA53" s="238"/>
      <c r="AB53" s="238"/>
      <c r="AC53" s="238"/>
      <c r="AD53" s="238"/>
      <c r="AE53" s="238"/>
      <c r="AF53" s="238"/>
      <c r="AG53" s="238"/>
      <c r="AH53" s="57">
        <f t="shared" si="9"/>
        <v>231</v>
      </c>
      <c r="AI53" s="41">
        <f t="shared" si="5"/>
        <v>0.51875000000000004</v>
      </c>
      <c r="AJ53" s="41">
        <f t="shared" si="6"/>
        <v>0.51818181818181819</v>
      </c>
      <c r="AK53" s="41">
        <f t="shared" si="2"/>
        <v>1</v>
      </c>
      <c r="AL53" s="41">
        <f t="shared" si="3"/>
        <v>0.26880681818181823</v>
      </c>
      <c r="AM53" s="239" t="s">
        <v>109</v>
      </c>
    </row>
    <row r="54" spans="1:39" s="7" customFormat="1" ht="12.75" customHeight="1" thickBot="1" x14ac:dyDescent="0.25">
      <c r="A54" s="399">
        <f t="shared" ref="A54" si="36">A51+1</f>
        <v>46039</v>
      </c>
      <c r="B54" s="402">
        <f t="shared" ref="B54" si="37">A54</f>
        <v>46039</v>
      </c>
      <c r="C54" s="50" t="s">
        <v>23</v>
      </c>
      <c r="D54" s="68" t="s">
        <v>65</v>
      </c>
      <c r="E54" s="284">
        <v>2000</v>
      </c>
      <c r="F54" s="284">
        <v>1700</v>
      </c>
      <c r="G54" s="224"/>
      <c r="H54" s="225">
        <v>660</v>
      </c>
      <c r="I54" s="51">
        <f t="shared" si="0"/>
        <v>30</v>
      </c>
      <c r="J54" s="52">
        <f t="shared" si="4"/>
        <v>561</v>
      </c>
      <c r="K54" s="226"/>
      <c r="L54" s="226"/>
      <c r="M54" s="226">
        <v>69</v>
      </c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26"/>
      <c r="Z54" s="226">
        <v>30</v>
      </c>
      <c r="AA54" s="226"/>
      <c r="AB54" s="226"/>
      <c r="AC54" s="226"/>
      <c r="AD54" s="226"/>
      <c r="AE54" s="226"/>
      <c r="AF54" s="226"/>
      <c r="AG54" s="226"/>
      <c r="AH54" s="53">
        <f t="shared" si="9"/>
        <v>99</v>
      </c>
      <c r="AI54" s="39">
        <f t="shared" si="5"/>
        <v>0.85</v>
      </c>
      <c r="AJ54" s="39">
        <f t="shared" si="6"/>
        <v>0.85</v>
      </c>
      <c r="AK54" s="39">
        <f t="shared" si="2"/>
        <v>1</v>
      </c>
      <c r="AL54" s="39">
        <f t="shared" si="3"/>
        <v>0.72249999999999992</v>
      </c>
      <c r="AM54" s="239"/>
    </row>
    <row r="55" spans="1:39" s="7" customFormat="1" ht="12.75" customHeight="1" thickBot="1" x14ac:dyDescent="0.25">
      <c r="A55" s="400"/>
      <c r="B55" s="403"/>
      <c r="C55" s="46" t="s">
        <v>23</v>
      </c>
      <c r="D55" s="71" t="s">
        <v>67</v>
      </c>
      <c r="E55" s="285">
        <v>3000</v>
      </c>
      <c r="F55" s="285">
        <v>1080</v>
      </c>
      <c r="G55" s="296">
        <v>2</v>
      </c>
      <c r="H55" s="231">
        <v>660</v>
      </c>
      <c r="I55" s="47">
        <f t="shared" si="0"/>
        <v>30</v>
      </c>
      <c r="J55" s="48">
        <f t="shared" si="4"/>
        <v>238</v>
      </c>
      <c r="K55" s="232"/>
      <c r="L55" s="232"/>
      <c r="M55" s="232">
        <v>392</v>
      </c>
      <c r="N55" s="232"/>
      <c r="O55" s="232"/>
      <c r="P55" s="232"/>
      <c r="Q55" s="232"/>
      <c r="R55" s="232"/>
      <c r="S55" s="232"/>
      <c r="T55" s="232"/>
      <c r="U55" s="232"/>
      <c r="V55" s="232"/>
      <c r="W55" s="232"/>
      <c r="X55" s="232"/>
      <c r="Y55" s="232"/>
      <c r="Z55" s="232">
        <v>30</v>
      </c>
      <c r="AA55" s="232"/>
      <c r="AB55" s="232"/>
      <c r="AC55" s="232"/>
      <c r="AD55" s="232"/>
      <c r="AE55" s="232"/>
      <c r="AF55" s="232"/>
      <c r="AG55" s="232"/>
      <c r="AH55" s="49">
        <f t="shared" si="9"/>
        <v>422</v>
      </c>
      <c r="AI55" s="6">
        <f t="shared" si="5"/>
        <v>0.3606060606060606</v>
      </c>
      <c r="AJ55" s="6">
        <f t="shared" si="6"/>
        <v>0.36</v>
      </c>
      <c r="AK55" s="6">
        <f t="shared" si="2"/>
        <v>0.99815157116451014</v>
      </c>
      <c r="AL55" s="6">
        <f t="shared" si="3"/>
        <v>0.1295782221475382</v>
      </c>
      <c r="AM55" s="239" t="s">
        <v>109</v>
      </c>
    </row>
    <row r="56" spans="1:39" s="7" customFormat="1" ht="12.75" customHeight="1" thickBot="1" x14ac:dyDescent="0.25">
      <c r="A56" s="401"/>
      <c r="B56" s="404"/>
      <c r="C56" s="54" t="s">
        <v>23</v>
      </c>
      <c r="D56" s="72" t="s">
        <v>66</v>
      </c>
      <c r="E56" s="286">
        <v>3000</v>
      </c>
      <c r="F56" s="286">
        <v>2550</v>
      </c>
      <c r="G56" s="297">
        <v>16</v>
      </c>
      <c r="H56" s="237">
        <v>660</v>
      </c>
      <c r="I56" s="279">
        <f t="shared" si="0"/>
        <v>30</v>
      </c>
      <c r="J56" s="56">
        <f t="shared" si="4"/>
        <v>561</v>
      </c>
      <c r="K56" s="238"/>
      <c r="L56" s="238"/>
      <c r="M56" s="238">
        <v>69</v>
      </c>
      <c r="N56" s="238"/>
      <c r="O56" s="238"/>
      <c r="P56" s="238"/>
      <c r="Q56" s="238"/>
      <c r="R56" s="238"/>
      <c r="S56" s="238"/>
      <c r="T56" s="238"/>
      <c r="U56" s="238"/>
      <c r="V56" s="238"/>
      <c r="W56" s="238"/>
      <c r="X56" s="238"/>
      <c r="Y56" s="238"/>
      <c r="Z56" s="238">
        <v>30</v>
      </c>
      <c r="AA56" s="238"/>
      <c r="AB56" s="238"/>
      <c r="AC56" s="238"/>
      <c r="AD56" s="238"/>
      <c r="AE56" s="238"/>
      <c r="AF56" s="238"/>
      <c r="AG56" s="238"/>
      <c r="AH56" s="57">
        <f t="shared" si="9"/>
        <v>99</v>
      </c>
      <c r="AI56" s="41">
        <f t="shared" si="5"/>
        <v>0.85</v>
      </c>
      <c r="AJ56" s="41">
        <f t="shared" si="6"/>
        <v>0.85</v>
      </c>
      <c r="AK56" s="41">
        <f t="shared" si="2"/>
        <v>0.99376461418550277</v>
      </c>
      <c r="AL56" s="41">
        <f t="shared" si="3"/>
        <v>0.71799493374902568</v>
      </c>
      <c r="AM56" s="239" t="s">
        <v>109</v>
      </c>
    </row>
    <row r="57" spans="1:39" s="7" customFormat="1" ht="12.75" customHeight="1" thickBot="1" x14ac:dyDescent="0.25">
      <c r="A57" s="399">
        <f t="shared" ref="A57" si="38">A54+1</f>
        <v>46040</v>
      </c>
      <c r="B57" s="402">
        <f t="shared" ref="B57" si="39">A57</f>
        <v>46040</v>
      </c>
      <c r="C57" s="50" t="s">
        <v>23</v>
      </c>
      <c r="D57" s="68" t="s">
        <v>65</v>
      </c>
      <c r="E57" s="284">
        <v>2000</v>
      </c>
      <c r="F57" s="284">
        <v>1700</v>
      </c>
      <c r="G57" s="224"/>
      <c r="H57" s="225">
        <v>660</v>
      </c>
      <c r="I57" s="51">
        <f t="shared" si="0"/>
        <v>30</v>
      </c>
      <c r="J57" s="52">
        <f t="shared" si="4"/>
        <v>561</v>
      </c>
      <c r="K57" s="226"/>
      <c r="L57" s="226"/>
      <c r="M57" s="226">
        <v>69</v>
      </c>
      <c r="N57" s="226"/>
      <c r="O57" s="226"/>
      <c r="P57" s="226"/>
      <c r="Q57" s="226"/>
      <c r="R57" s="226"/>
      <c r="S57" s="226"/>
      <c r="T57" s="226"/>
      <c r="U57" s="226"/>
      <c r="V57" s="226"/>
      <c r="W57" s="226"/>
      <c r="X57" s="226"/>
      <c r="Y57" s="226"/>
      <c r="Z57" s="226">
        <v>30</v>
      </c>
      <c r="AA57" s="226"/>
      <c r="AB57" s="226"/>
      <c r="AC57" s="226"/>
      <c r="AD57" s="226"/>
      <c r="AE57" s="226"/>
      <c r="AF57" s="226"/>
      <c r="AG57" s="226"/>
      <c r="AH57" s="53">
        <f t="shared" si="9"/>
        <v>99</v>
      </c>
      <c r="AI57" s="39">
        <f t="shared" si="5"/>
        <v>0.85</v>
      </c>
      <c r="AJ57" s="39">
        <f t="shared" si="6"/>
        <v>0.85</v>
      </c>
      <c r="AK57" s="39">
        <f t="shared" si="2"/>
        <v>1</v>
      </c>
      <c r="AL57" s="39">
        <f t="shared" si="3"/>
        <v>0.72249999999999992</v>
      </c>
      <c r="AM57" s="239" t="s">
        <v>110</v>
      </c>
    </row>
    <row r="58" spans="1:39" s="7" customFormat="1" ht="12.75" customHeight="1" thickBot="1" x14ac:dyDescent="0.25">
      <c r="A58" s="400"/>
      <c r="B58" s="403"/>
      <c r="C58" s="46" t="s">
        <v>23</v>
      </c>
      <c r="D58" s="71" t="s">
        <v>67</v>
      </c>
      <c r="E58" s="285">
        <v>3000</v>
      </c>
      <c r="F58" s="285">
        <v>1450</v>
      </c>
      <c r="G58" s="296">
        <v>9</v>
      </c>
      <c r="H58" s="231">
        <v>660</v>
      </c>
      <c r="I58" s="47">
        <f t="shared" si="0"/>
        <v>30</v>
      </c>
      <c r="J58" s="48">
        <f t="shared" si="4"/>
        <v>319</v>
      </c>
      <c r="K58" s="232"/>
      <c r="L58" s="232"/>
      <c r="M58" s="232">
        <v>311</v>
      </c>
      <c r="N58" s="232"/>
      <c r="O58" s="232"/>
      <c r="P58" s="232"/>
      <c r="Q58" s="232"/>
      <c r="R58" s="232"/>
      <c r="S58" s="232"/>
      <c r="T58" s="232"/>
      <c r="U58" s="232"/>
      <c r="V58" s="232"/>
      <c r="W58" s="232"/>
      <c r="X58" s="232"/>
      <c r="Y58" s="232"/>
      <c r="Z58" s="232">
        <v>30</v>
      </c>
      <c r="AA58" s="232"/>
      <c r="AB58" s="232"/>
      <c r="AC58" s="232"/>
      <c r="AD58" s="232"/>
      <c r="AE58" s="232"/>
      <c r="AF58" s="232"/>
      <c r="AG58" s="232"/>
      <c r="AH58" s="49">
        <f t="shared" si="9"/>
        <v>341</v>
      </c>
      <c r="AI58" s="6">
        <f t="shared" si="5"/>
        <v>0.48333333333333334</v>
      </c>
      <c r="AJ58" s="6">
        <f t="shared" si="6"/>
        <v>0.48333333333333334</v>
      </c>
      <c r="AK58" s="6">
        <f t="shared" si="2"/>
        <v>0.99383139136394794</v>
      </c>
      <c r="AL58" s="6">
        <f t="shared" si="3"/>
        <v>0.23217005559363341</v>
      </c>
      <c r="AM58" s="239" t="s">
        <v>109</v>
      </c>
    </row>
    <row r="59" spans="1:39" s="7" customFormat="1" ht="12.75" customHeight="1" thickBot="1" x14ac:dyDescent="0.25">
      <c r="A59" s="401"/>
      <c r="B59" s="404"/>
      <c r="C59" s="54" t="s">
        <v>23</v>
      </c>
      <c r="D59" s="72" t="s">
        <v>66</v>
      </c>
      <c r="E59" s="286">
        <v>3000</v>
      </c>
      <c r="F59" s="286">
        <v>2140</v>
      </c>
      <c r="G59" s="297">
        <v>4</v>
      </c>
      <c r="H59" s="237">
        <v>660</v>
      </c>
      <c r="I59" s="279">
        <f t="shared" si="0"/>
        <v>30</v>
      </c>
      <c r="J59" s="56">
        <f t="shared" si="4"/>
        <v>471</v>
      </c>
      <c r="K59" s="238"/>
      <c r="L59" s="238"/>
      <c r="M59" s="238">
        <v>159</v>
      </c>
      <c r="N59" s="238"/>
      <c r="O59" s="238"/>
      <c r="P59" s="238"/>
      <c r="Q59" s="238"/>
      <c r="R59" s="238"/>
      <c r="S59" s="238"/>
      <c r="T59" s="238"/>
      <c r="U59" s="238"/>
      <c r="V59" s="238"/>
      <c r="W59" s="238"/>
      <c r="X59" s="238"/>
      <c r="Y59" s="238"/>
      <c r="Z59" s="238">
        <v>30</v>
      </c>
      <c r="AA59" s="238"/>
      <c r="AB59" s="238"/>
      <c r="AC59" s="238"/>
      <c r="AD59" s="238"/>
      <c r="AE59" s="238"/>
      <c r="AF59" s="238"/>
      <c r="AG59" s="238"/>
      <c r="AH59" s="57">
        <f t="shared" si="9"/>
        <v>189</v>
      </c>
      <c r="AI59" s="41">
        <f t="shared" si="5"/>
        <v>0.71363636363636362</v>
      </c>
      <c r="AJ59" s="41">
        <f t="shared" si="6"/>
        <v>0.71333333333333337</v>
      </c>
      <c r="AK59" s="41">
        <f t="shared" si="2"/>
        <v>0.99813432835820892</v>
      </c>
      <c r="AL59" s="41">
        <f t="shared" si="3"/>
        <v>0.50811086612392586</v>
      </c>
      <c r="AM59" s="239" t="s">
        <v>109</v>
      </c>
    </row>
    <row r="60" spans="1:39" s="7" customFormat="1" ht="12.75" customHeight="1" thickBot="1" x14ac:dyDescent="0.25">
      <c r="A60" s="399">
        <f t="shared" ref="A60" si="40">A57+1</f>
        <v>46041</v>
      </c>
      <c r="B60" s="402">
        <f t="shared" ref="B60" si="41">A60</f>
        <v>46041</v>
      </c>
      <c r="C60" s="50" t="s">
        <v>23</v>
      </c>
      <c r="D60" s="68" t="s">
        <v>65</v>
      </c>
      <c r="E60" s="284">
        <v>2000</v>
      </c>
      <c r="F60" s="284">
        <v>1500</v>
      </c>
      <c r="G60" s="224">
        <v>0</v>
      </c>
      <c r="H60" s="225">
        <v>660</v>
      </c>
      <c r="I60" s="51">
        <f t="shared" si="0"/>
        <v>30</v>
      </c>
      <c r="J60" s="52">
        <f t="shared" si="4"/>
        <v>495</v>
      </c>
      <c r="K60" s="226"/>
      <c r="L60" s="226"/>
      <c r="M60" s="226">
        <v>135</v>
      </c>
      <c r="N60" s="226"/>
      <c r="O60" s="226"/>
      <c r="P60" s="226"/>
      <c r="Q60" s="226"/>
      <c r="R60" s="226"/>
      <c r="S60" s="226"/>
      <c r="T60" s="226"/>
      <c r="U60" s="226"/>
      <c r="V60" s="226"/>
      <c r="W60" s="226"/>
      <c r="X60" s="226"/>
      <c r="Y60" s="226"/>
      <c r="Z60" s="226">
        <v>30</v>
      </c>
      <c r="AA60" s="226"/>
      <c r="AB60" s="226"/>
      <c r="AC60" s="226"/>
      <c r="AD60" s="226"/>
      <c r="AE60" s="226"/>
      <c r="AF60" s="226"/>
      <c r="AG60" s="226"/>
      <c r="AH60" s="53">
        <f t="shared" si="9"/>
        <v>165</v>
      </c>
      <c r="AI60" s="39">
        <f t="shared" si="5"/>
        <v>0.75</v>
      </c>
      <c r="AJ60" s="39">
        <f t="shared" si="6"/>
        <v>0.75</v>
      </c>
      <c r="AK60" s="39">
        <f t="shared" si="2"/>
        <v>1</v>
      </c>
      <c r="AL60" s="39">
        <f t="shared" si="3"/>
        <v>0.5625</v>
      </c>
      <c r="AM60" s="239" t="s">
        <v>110</v>
      </c>
    </row>
    <row r="61" spans="1:39" s="7" customFormat="1" ht="12.75" customHeight="1" thickBot="1" x14ac:dyDescent="0.25">
      <c r="A61" s="400"/>
      <c r="B61" s="403"/>
      <c r="C61" s="46" t="s">
        <v>23</v>
      </c>
      <c r="D61" s="71" t="s">
        <v>67</v>
      </c>
      <c r="E61" s="285">
        <v>3000</v>
      </c>
      <c r="F61" s="285">
        <v>1060</v>
      </c>
      <c r="G61" s="296">
        <v>0</v>
      </c>
      <c r="H61" s="231">
        <v>660</v>
      </c>
      <c r="I61" s="47">
        <f t="shared" si="0"/>
        <v>30</v>
      </c>
      <c r="J61" s="48">
        <f t="shared" si="4"/>
        <v>233</v>
      </c>
      <c r="K61" s="232"/>
      <c r="L61" s="232"/>
      <c r="M61" s="232">
        <v>397</v>
      </c>
      <c r="N61" s="232"/>
      <c r="O61" s="232"/>
      <c r="P61" s="232"/>
      <c r="Q61" s="232"/>
      <c r="R61" s="232"/>
      <c r="S61" s="232"/>
      <c r="T61" s="232"/>
      <c r="U61" s="232"/>
      <c r="V61" s="232"/>
      <c r="W61" s="232"/>
      <c r="X61" s="232"/>
      <c r="Y61" s="232"/>
      <c r="Z61" s="232">
        <v>30</v>
      </c>
      <c r="AA61" s="232"/>
      <c r="AB61" s="232"/>
      <c r="AC61" s="232"/>
      <c r="AD61" s="232"/>
      <c r="AE61" s="232"/>
      <c r="AF61" s="232"/>
      <c r="AG61" s="232"/>
      <c r="AH61" s="49">
        <f t="shared" si="9"/>
        <v>427</v>
      </c>
      <c r="AI61" s="6">
        <f t="shared" si="5"/>
        <v>0.35303030303030303</v>
      </c>
      <c r="AJ61" s="6">
        <f t="shared" si="6"/>
        <v>0.35333333333333333</v>
      </c>
      <c r="AK61" s="6">
        <f t="shared" si="2"/>
        <v>1</v>
      </c>
      <c r="AL61" s="6">
        <f t="shared" si="3"/>
        <v>0.12473737373737373</v>
      </c>
      <c r="AM61" s="239" t="s">
        <v>109</v>
      </c>
    </row>
    <row r="62" spans="1:39" s="7" customFormat="1" ht="12.75" customHeight="1" thickBot="1" x14ac:dyDescent="0.25">
      <c r="A62" s="401"/>
      <c r="B62" s="404"/>
      <c r="C62" s="54" t="s">
        <v>23</v>
      </c>
      <c r="D62" s="72" t="s">
        <v>66</v>
      </c>
      <c r="E62" s="286">
        <v>3000</v>
      </c>
      <c r="F62" s="286">
        <v>2100</v>
      </c>
      <c r="G62" s="297">
        <v>9</v>
      </c>
      <c r="H62" s="237">
        <v>660</v>
      </c>
      <c r="I62" s="279">
        <f t="shared" si="0"/>
        <v>30</v>
      </c>
      <c r="J62" s="56">
        <f t="shared" si="4"/>
        <v>462</v>
      </c>
      <c r="K62" s="238"/>
      <c r="L62" s="238"/>
      <c r="M62" s="238">
        <v>168</v>
      </c>
      <c r="N62" s="238"/>
      <c r="O62" s="238"/>
      <c r="P62" s="238"/>
      <c r="Q62" s="238"/>
      <c r="R62" s="238"/>
      <c r="S62" s="238"/>
      <c r="T62" s="238"/>
      <c r="U62" s="238"/>
      <c r="V62" s="238"/>
      <c r="W62" s="238"/>
      <c r="X62" s="238"/>
      <c r="Y62" s="238"/>
      <c r="Z62" s="238">
        <v>30</v>
      </c>
      <c r="AA62" s="238"/>
      <c r="AB62" s="238"/>
      <c r="AC62" s="238"/>
      <c r="AD62" s="238"/>
      <c r="AE62" s="238"/>
      <c r="AF62" s="238"/>
      <c r="AG62" s="238"/>
      <c r="AH62" s="57">
        <f t="shared" si="9"/>
        <v>198</v>
      </c>
      <c r="AI62" s="41">
        <f t="shared" si="5"/>
        <v>0.7</v>
      </c>
      <c r="AJ62" s="41">
        <f t="shared" si="6"/>
        <v>0.7</v>
      </c>
      <c r="AK62" s="41">
        <f t="shared" si="2"/>
        <v>0.99573257467994314</v>
      </c>
      <c r="AL62" s="41">
        <f t="shared" si="3"/>
        <v>0.4879089615931721</v>
      </c>
      <c r="AM62" s="239" t="s">
        <v>109</v>
      </c>
    </row>
    <row r="63" spans="1:39" s="7" customFormat="1" ht="12.75" customHeight="1" thickBot="1" x14ac:dyDescent="0.25">
      <c r="A63" s="399">
        <f t="shared" ref="A63" si="42">A60+1</f>
        <v>46042</v>
      </c>
      <c r="B63" s="402">
        <f t="shared" ref="B63" si="43">A63</f>
        <v>46042</v>
      </c>
      <c r="C63" s="50" t="s">
        <v>23</v>
      </c>
      <c r="D63" s="68" t="s">
        <v>65</v>
      </c>
      <c r="E63" s="284">
        <v>2000</v>
      </c>
      <c r="F63" s="284">
        <v>1700</v>
      </c>
      <c r="G63" s="224">
        <v>0</v>
      </c>
      <c r="H63" s="225">
        <v>660</v>
      </c>
      <c r="I63" s="51">
        <f t="shared" si="0"/>
        <v>30</v>
      </c>
      <c r="J63" s="52">
        <f t="shared" si="4"/>
        <v>561</v>
      </c>
      <c r="K63" s="226"/>
      <c r="L63" s="226"/>
      <c r="M63" s="226">
        <v>69</v>
      </c>
      <c r="N63" s="226"/>
      <c r="O63" s="226"/>
      <c r="P63" s="226"/>
      <c r="Q63" s="226"/>
      <c r="R63" s="226"/>
      <c r="S63" s="226"/>
      <c r="T63" s="226"/>
      <c r="U63" s="226"/>
      <c r="V63" s="226"/>
      <c r="W63" s="226"/>
      <c r="X63" s="226"/>
      <c r="Y63" s="226"/>
      <c r="Z63" s="226">
        <v>30</v>
      </c>
      <c r="AA63" s="226"/>
      <c r="AB63" s="226"/>
      <c r="AC63" s="226"/>
      <c r="AD63" s="226"/>
      <c r="AE63" s="226"/>
      <c r="AF63" s="226"/>
      <c r="AG63" s="226"/>
      <c r="AH63" s="53">
        <f t="shared" si="9"/>
        <v>99</v>
      </c>
      <c r="AI63" s="39">
        <f t="shared" si="5"/>
        <v>0.85</v>
      </c>
      <c r="AJ63" s="39">
        <f t="shared" si="6"/>
        <v>0.85</v>
      </c>
      <c r="AK63" s="39">
        <f t="shared" si="2"/>
        <v>1</v>
      </c>
      <c r="AL63" s="39">
        <f t="shared" si="3"/>
        <v>0.72249999999999992</v>
      </c>
      <c r="AM63" s="239" t="s">
        <v>110</v>
      </c>
    </row>
    <row r="64" spans="1:39" s="7" customFormat="1" ht="12.75" customHeight="1" thickBot="1" x14ac:dyDescent="0.25">
      <c r="A64" s="400"/>
      <c r="B64" s="403"/>
      <c r="C64" s="46" t="s">
        <v>23</v>
      </c>
      <c r="D64" s="71" t="s">
        <v>67</v>
      </c>
      <c r="E64" s="285">
        <v>3000</v>
      </c>
      <c r="F64" s="285">
        <v>1460</v>
      </c>
      <c r="G64" s="296">
        <v>2</v>
      </c>
      <c r="H64" s="231">
        <v>660</v>
      </c>
      <c r="I64" s="47">
        <f t="shared" si="0"/>
        <v>30</v>
      </c>
      <c r="J64" s="48">
        <f t="shared" si="4"/>
        <v>321</v>
      </c>
      <c r="K64" s="232"/>
      <c r="L64" s="232"/>
      <c r="M64" s="232">
        <v>309</v>
      </c>
      <c r="N64" s="232"/>
      <c r="O64" s="232"/>
      <c r="P64" s="232"/>
      <c r="Q64" s="232"/>
      <c r="R64" s="232"/>
      <c r="S64" s="232"/>
      <c r="T64" s="232"/>
      <c r="U64" s="232"/>
      <c r="V64" s="232"/>
      <c r="W64" s="232"/>
      <c r="X64" s="232"/>
      <c r="Y64" s="232"/>
      <c r="Z64" s="232">
        <v>30</v>
      </c>
      <c r="AA64" s="232"/>
      <c r="AB64" s="232"/>
      <c r="AC64" s="232"/>
      <c r="AD64" s="232"/>
      <c r="AE64" s="232"/>
      <c r="AF64" s="232"/>
      <c r="AG64" s="232"/>
      <c r="AH64" s="49">
        <f t="shared" si="9"/>
        <v>339</v>
      </c>
      <c r="AI64" s="6">
        <f t="shared" si="5"/>
        <v>0.48636363636363639</v>
      </c>
      <c r="AJ64" s="6">
        <f t="shared" si="6"/>
        <v>0.48666666666666669</v>
      </c>
      <c r="AK64" s="6">
        <f t="shared" si="2"/>
        <v>0.99863201094391241</v>
      </c>
      <c r="AL64" s="6">
        <f t="shared" si="3"/>
        <v>0.23637317083281517</v>
      </c>
      <c r="AM64" s="239" t="s">
        <v>109</v>
      </c>
    </row>
    <row r="65" spans="1:39" s="7" customFormat="1" ht="12.75" customHeight="1" thickBot="1" x14ac:dyDescent="0.25">
      <c r="A65" s="401"/>
      <c r="B65" s="404"/>
      <c r="C65" s="54" t="s">
        <v>23</v>
      </c>
      <c r="D65" s="72" t="s">
        <v>66</v>
      </c>
      <c r="E65" s="286">
        <v>3000</v>
      </c>
      <c r="F65" s="286">
        <v>1520</v>
      </c>
      <c r="G65" s="297">
        <v>13</v>
      </c>
      <c r="H65" s="237">
        <v>660</v>
      </c>
      <c r="I65" s="279">
        <f t="shared" si="0"/>
        <v>30</v>
      </c>
      <c r="J65" s="56">
        <f t="shared" si="4"/>
        <v>334</v>
      </c>
      <c r="K65" s="238"/>
      <c r="L65" s="238"/>
      <c r="M65" s="238">
        <v>296</v>
      </c>
      <c r="N65" s="238"/>
      <c r="O65" s="238"/>
      <c r="P65" s="238"/>
      <c r="Q65" s="238"/>
      <c r="R65" s="238"/>
      <c r="S65" s="238"/>
      <c r="T65" s="238"/>
      <c r="U65" s="238"/>
      <c r="V65" s="238"/>
      <c r="W65" s="238"/>
      <c r="X65" s="238"/>
      <c r="Y65" s="238"/>
      <c r="Z65" s="238">
        <v>30</v>
      </c>
      <c r="AA65" s="238"/>
      <c r="AB65" s="238"/>
      <c r="AC65" s="238"/>
      <c r="AD65" s="238"/>
      <c r="AE65" s="238"/>
      <c r="AF65" s="238"/>
      <c r="AG65" s="238"/>
      <c r="AH65" s="57">
        <f t="shared" si="9"/>
        <v>326</v>
      </c>
      <c r="AI65" s="41">
        <f t="shared" si="5"/>
        <v>0.5060606060606061</v>
      </c>
      <c r="AJ65" s="41">
        <f t="shared" si="6"/>
        <v>0.50666666666666671</v>
      </c>
      <c r="AK65" s="41">
        <f t="shared" si="2"/>
        <v>0.99151989562948462</v>
      </c>
      <c r="AL65" s="41">
        <f t="shared" si="3"/>
        <v>0.25422970738039236</v>
      </c>
      <c r="AM65" s="239" t="s">
        <v>109</v>
      </c>
    </row>
    <row r="66" spans="1:39" s="7" customFormat="1" ht="12.75" customHeight="1" thickBot="1" x14ac:dyDescent="0.25">
      <c r="A66" s="399">
        <f t="shared" ref="A66" si="44">A63+1</f>
        <v>46043</v>
      </c>
      <c r="B66" s="402">
        <f t="shared" ref="B66" si="45">A66</f>
        <v>46043</v>
      </c>
      <c r="C66" s="50" t="s">
        <v>23</v>
      </c>
      <c r="D66" s="68" t="s">
        <v>65</v>
      </c>
      <c r="E66" s="284">
        <v>2000</v>
      </c>
      <c r="F66" s="284">
        <v>1560</v>
      </c>
      <c r="G66" s="224">
        <v>0</v>
      </c>
      <c r="H66" s="225">
        <v>660</v>
      </c>
      <c r="I66" s="51">
        <f t="shared" si="0"/>
        <v>30</v>
      </c>
      <c r="J66" s="52">
        <f t="shared" si="4"/>
        <v>515</v>
      </c>
      <c r="K66" s="226"/>
      <c r="L66" s="226"/>
      <c r="M66" s="226">
        <v>115</v>
      </c>
      <c r="N66" s="226"/>
      <c r="O66" s="226"/>
      <c r="P66" s="226"/>
      <c r="Q66" s="226"/>
      <c r="R66" s="226"/>
      <c r="S66" s="226"/>
      <c r="T66" s="226"/>
      <c r="U66" s="226"/>
      <c r="V66" s="226"/>
      <c r="W66" s="226"/>
      <c r="X66" s="226"/>
      <c r="Y66" s="226"/>
      <c r="Z66" s="226">
        <v>30</v>
      </c>
      <c r="AA66" s="226"/>
      <c r="AB66" s="226"/>
      <c r="AC66" s="226"/>
      <c r="AD66" s="226"/>
      <c r="AE66" s="226"/>
      <c r="AF66" s="226"/>
      <c r="AG66" s="226"/>
      <c r="AH66" s="53">
        <f t="shared" si="9"/>
        <v>145</v>
      </c>
      <c r="AI66" s="39">
        <f t="shared" si="5"/>
        <v>0.78030303030303028</v>
      </c>
      <c r="AJ66" s="39">
        <f t="shared" si="6"/>
        <v>0.78</v>
      </c>
      <c r="AK66" s="39">
        <f t="shared" si="2"/>
        <v>1</v>
      </c>
      <c r="AL66" s="39">
        <f t="shared" si="3"/>
        <v>0.60863636363636364</v>
      </c>
      <c r="AM66" s="239" t="s">
        <v>110</v>
      </c>
    </row>
    <row r="67" spans="1:39" s="7" customFormat="1" ht="12.75" customHeight="1" thickBot="1" x14ac:dyDescent="0.25">
      <c r="A67" s="400"/>
      <c r="B67" s="403"/>
      <c r="C67" s="46" t="s">
        <v>23</v>
      </c>
      <c r="D67" s="71" t="s">
        <v>67</v>
      </c>
      <c r="E67" s="285">
        <v>3000</v>
      </c>
      <c r="F67" s="285">
        <v>1330</v>
      </c>
      <c r="G67" s="296">
        <v>1</v>
      </c>
      <c r="H67" s="231">
        <v>660</v>
      </c>
      <c r="I67" s="47">
        <f t="shared" si="0"/>
        <v>30</v>
      </c>
      <c r="J67" s="48">
        <f t="shared" si="4"/>
        <v>293</v>
      </c>
      <c r="K67" s="232"/>
      <c r="L67" s="232"/>
      <c r="M67" s="232">
        <v>337</v>
      </c>
      <c r="N67" s="232"/>
      <c r="O67" s="232"/>
      <c r="P67" s="232"/>
      <c r="Q67" s="232"/>
      <c r="R67" s="232"/>
      <c r="S67" s="232"/>
      <c r="T67" s="232"/>
      <c r="U67" s="232"/>
      <c r="V67" s="232"/>
      <c r="W67" s="232"/>
      <c r="X67" s="232"/>
      <c r="Y67" s="232"/>
      <c r="Z67" s="232">
        <v>30</v>
      </c>
      <c r="AA67" s="232"/>
      <c r="AB67" s="232"/>
      <c r="AC67" s="232"/>
      <c r="AD67" s="232"/>
      <c r="AE67" s="232"/>
      <c r="AF67" s="232"/>
      <c r="AG67" s="232"/>
      <c r="AH67" s="49">
        <f t="shared" si="9"/>
        <v>367</v>
      </c>
      <c r="AI67" s="6">
        <f t="shared" si="5"/>
        <v>0.44393939393939397</v>
      </c>
      <c r="AJ67" s="6">
        <f t="shared" si="6"/>
        <v>0.44333333333333336</v>
      </c>
      <c r="AK67" s="6">
        <f t="shared" si="2"/>
        <v>0.99924868519909837</v>
      </c>
      <c r="AL67" s="6">
        <f t="shared" si="3"/>
        <v>0.19666526269456397</v>
      </c>
      <c r="AM67" s="239" t="s">
        <v>109</v>
      </c>
    </row>
    <row r="68" spans="1:39" s="7" customFormat="1" ht="12.75" customHeight="1" thickBot="1" x14ac:dyDescent="0.25">
      <c r="A68" s="401"/>
      <c r="B68" s="404"/>
      <c r="C68" s="54" t="s">
        <v>23</v>
      </c>
      <c r="D68" s="72" t="s">
        <v>66</v>
      </c>
      <c r="E68" s="286">
        <v>3000</v>
      </c>
      <c r="F68" s="286">
        <v>1620</v>
      </c>
      <c r="G68" s="297">
        <v>10</v>
      </c>
      <c r="H68" s="237">
        <v>660</v>
      </c>
      <c r="I68" s="279">
        <f t="shared" si="0"/>
        <v>30</v>
      </c>
      <c r="J68" s="56">
        <f t="shared" si="4"/>
        <v>356</v>
      </c>
      <c r="K68" s="238"/>
      <c r="L68" s="238"/>
      <c r="M68" s="238">
        <v>274</v>
      </c>
      <c r="N68" s="238"/>
      <c r="O68" s="238"/>
      <c r="P68" s="238"/>
      <c r="Q68" s="238"/>
      <c r="R68" s="238"/>
      <c r="S68" s="238"/>
      <c r="T68" s="238"/>
      <c r="U68" s="238"/>
      <c r="V68" s="238"/>
      <c r="W68" s="238"/>
      <c r="X68" s="238"/>
      <c r="Y68" s="238"/>
      <c r="Z68" s="238">
        <v>30</v>
      </c>
      <c r="AA68" s="238"/>
      <c r="AB68" s="238"/>
      <c r="AC68" s="238"/>
      <c r="AD68" s="238"/>
      <c r="AE68" s="238"/>
      <c r="AF68" s="238"/>
      <c r="AG68" s="238"/>
      <c r="AH68" s="57">
        <f t="shared" si="9"/>
        <v>304</v>
      </c>
      <c r="AI68" s="41">
        <f t="shared" si="5"/>
        <v>0.53939393939393943</v>
      </c>
      <c r="AJ68" s="41">
        <f t="shared" si="6"/>
        <v>0.54</v>
      </c>
      <c r="AK68" s="41">
        <f t="shared" si="2"/>
        <v>0.99386503067484666</v>
      </c>
      <c r="AL68" s="41">
        <f t="shared" si="3"/>
        <v>0.28948577802565539</v>
      </c>
      <c r="AM68" s="239" t="s">
        <v>109</v>
      </c>
    </row>
    <row r="69" spans="1:39" s="7" customFormat="1" ht="12.75" customHeight="1" thickBot="1" x14ac:dyDescent="0.25">
      <c r="A69" s="399">
        <f t="shared" ref="A69" si="46">A66+1</f>
        <v>46044</v>
      </c>
      <c r="B69" s="402">
        <f t="shared" ref="B69" si="47">A69</f>
        <v>46044</v>
      </c>
      <c r="C69" s="50" t="s">
        <v>23</v>
      </c>
      <c r="D69" s="68" t="s">
        <v>65</v>
      </c>
      <c r="E69" s="284">
        <v>2000</v>
      </c>
      <c r="F69" s="284">
        <v>1420</v>
      </c>
      <c r="G69" s="224">
        <v>0</v>
      </c>
      <c r="H69" s="225">
        <v>660</v>
      </c>
      <c r="I69" s="51">
        <f t="shared" si="0"/>
        <v>30</v>
      </c>
      <c r="J69" s="52">
        <f t="shared" si="4"/>
        <v>469</v>
      </c>
      <c r="K69" s="226"/>
      <c r="L69" s="226"/>
      <c r="M69" s="226">
        <v>161</v>
      </c>
      <c r="N69" s="226"/>
      <c r="O69" s="226"/>
      <c r="P69" s="226"/>
      <c r="Q69" s="226"/>
      <c r="R69" s="226"/>
      <c r="S69" s="226"/>
      <c r="T69" s="226"/>
      <c r="U69" s="226"/>
      <c r="V69" s="226"/>
      <c r="W69" s="226"/>
      <c r="X69" s="226"/>
      <c r="Y69" s="226"/>
      <c r="Z69" s="226">
        <v>30</v>
      </c>
      <c r="AA69" s="226"/>
      <c r="AB69" s="226"/>
      <c r="AC69" s="226"/>
      <c r="AD69" s="226"/>
      <c r="AE69" s="226"/>
      <c r="AF69" s="226"/>
      <c r="AG69" s="226"/>
      <c r="AH69" s="53">
        <f t="shared" si="9"/>
        <v>191</v>
      </c>
      <c r="AI69" s="39">
        <f t="shared" si="5"/>
        <v>0.71060606060606057</v>
      </c>
      <c r="AJ69" s="39">
        <f t="shared" si="6"/>
        <v>0.71</v>
      </c>
      <c r="AK69" s="39">
        <f t="shared" si="2"/>
        <v>1</v>
      </c>
      <c r="AL69" s="39">
        <f t="shared" si="3"/>
        <v>0.504530303030303</v>
      </c>
      <c r="AM69" s="239" t="s">
        <v>110</v>
      </c>
    </row>
    <row r="70" spans="1:39" s="7" customFormat="1" ht="12.75" customHeight="1" thickBot="1" x14ac:dyDescent="0.25">
      <c r="A70" s="400"/>
      <c r="B70" s="403"/>
      <c r="C70" s="46" t="s">
        <v>23</v>
      </c>
      <c r="D70" s="71" t="s">
        <v>67</v>
      </c>
      <c r="E70" s="285">
        <v>3000</v>
      </c>
      <c r="F70" s="285">
        <v>1200</v>
      </c>
      <c r="G70" s="296">
        <v>0</v>
      </c>
      <c r="H70" s="231">
        <v>660</v>
      </c>
      <c r="I70" s="47">
        <f t="shared" si="0"/>
        <v>30</v>
      </c>
      <c r="J70" s="48">
        <f t="shared" si="4"/>
        <v>312</v>
      </c>
      <c r="K70" s="232"/>
      <c r="L70" s="232"/>
      <c r="M70" s="232">
        <v>318</v>
      </c>
      <c r="N70" s="232"/>
      <c r="O70" s="232"/>
      <c r="P70" s="232"/>
      <c r="Q70" s="232"/>
      <c r="R70" s="232"/>
      <c r="S70" s="232"/>
      <c r="T70" s="232"/>
      <c r="U70" s="232"/>
      <c r="V70" s="232"/>
      <c r="W70" s="232"/>
      <c r="X70" s="232"/>
      <c r="Y70" s="232"/>
      <c r="Z70" s="232">
        <v>30</v>
      </c>
      <c r="AA70" s="232"/>
      <c r="AB70" s="232"/>
      <c r="AC70" s="232"/>
      <c r="AD70" s="232"/>
      <c r="AE70" s="232"/>
      <c r="AF70" s="232"/>
      <c r="AG70" s="232"/>
      <c r="AH70" s="49">
        <f t="shared" si="9"/>
        <v>348</v>
      </c>
      <c r="AI70" s="6">
        <f t="shared" si="5"/>
        <v>0.47272727272727272</v>
      </c>
      <c r="AJ70" s="6">
        <f t="shared" si="6"/>
        <v>0.4</v>
      </c>
      <c r="AK70" s="6">
        <f t="shared" si="2"/>
        <v>1</v>
      </c>
      <c r="AL70" s="6">
        <f t="shared" si="3"/>
        <v>0.18909090909090909</v>
      </c>
      <c r="AM70" s="239" t="s">
        <v>109</v>
      </c>
    </row>
    <row r="71" spans="1:39" s="7" customFormat="1" ht="12.75" customHeight="1" thickBot="1" x14ac:dyDescent="0.25">
      <c r="A71" s="401"/>
      <c r="B71" s="404"/>
      <c r="C71" s="54" t="s">
        <v>23</v>
      </c>
      <c r="D71" s="72" t="s">
        <v>66</v>
      </c>
      <c r="E71" s="286">
        <v>3000</v>
      </c>
      <c r="F71" s="286">
        <v>1000</v>
      </c>
      <c r="G71" s="297">
        <v>11</v>
      </c>
      <c r="H71" s="237">
        <v>660</v>
      </c>
      <c r="I71" s="279">
        <f t="shared" si="0"/>
        <v>30</v>
      </c>
      <c r="J71" s="56">
        <f t="shared" si="4"/>
        <v>220</v>
      </c>
      <c r="K71" s="238"/>
      <c r="L71" s="238"/>
      <c r="M71" s="238">
        <v>410</v>
      </c>
      <c r="N71" s="238"/>
      <c r="O71" s="238"/>
      <c r="P71" s="238"/>
      <c r="Q71" s="238"/>
      <c r="R71" s="238"/>
      <c r="S71" s="238"/>
      <c r="T71" s="238"/>
      <c r="U71" s="238"/>
      <c r="V71" s="238"/>
      <c r="W71" s="238"/>
      <c r="X71" s="238"/>
      <c r="Y71" s="238"/>
      <c r="Z71" s="238">
        <v>30</v>
      </c>
      <c r="AA71" s="238"/>
      <c r="AB71" s="238"/>
      <c r="AC71" s="238"/>
      <c r="AD71" s="238"/>
      <c r="AE71" s="238"/>
      <c r="AF71" s="238"/>
      <c r="AG71" s="238"/>
      <c r="AH71" s="57">
        <f t="shared" si="9"/>
        <v>440</v>
      </c>
      <c r="AI71" s="41">
        <f t="shared" si="5"/>
        <v>0.33333333333333331</v>
      </c>
      <c r="AJ71" s="41">
        <f t="shared" si="6"/>
        <v>0.33333333333333331</v>
      </c>
      <c r="AK71" s="41">
        <f t="shared" si="2"/>
        <v>0.98911968348170132</v>
      </c>
      <c r="AL71" s="41">
        <f t="shared" si="3"/>
        <v>0.10990218705352235</v>
      </c>
      <c r="AM71" s="239" t="s">
        <v>109</v>
      </c>
    </row>
    <row r="72" spans="1:39" s="7" customFormat="1" ht="12.75" customHeight="1" thickBot="1" x14ac:dyDescent="0.25">
      <c r="A72" s="399">
        <f t="shared" ref="A72" si="48">A69+1</f>
        <v>46045</v>
      </c>
      <c r="B72" s="402">
        <f t="shared" ref="B72" si="49">A72</f>
        <v>46045</v>
      </c>
      <c r="C72" s="50" t="s">
        <v>23</v>
      </c>
      <c r="D72" s="68" t="s">
        <v>65</v>
      </c>
      <c r="E72" s="284"/>
      <c r="F72" s="284"/>
      <c r="G72" s="224"/>
      <c r="H72" s="225"/>
      <c r="I72" s="51">
        <f t="shared" ref="I72:I98" si="50">IF(E72&lt;&gt;"",30,0)</f>
        <v>0</v>
      </c>
      <c r="J72" s="52">
        <f t="shared" si="4"/>
        <v>0</v>
      </c>
      <c r="K72" s="226"/>
      <c r="L72" s="226"/>
      <c r="M72" s="226"/>
      <c r="N72" s="226"/>
      <c r="O72" s="226"/>
      <c r="P72" s="226"/>
      <c r="Q72" s="226"/>
      <c r="R72" s="226"/>
      <c r="S72" s="226"/>
      <c r="T72" s="226"/>
      <c r="U72" s="226"/>
      <c r="V72" s="226"/>
      <c r="W72" s="226"/>
      <c r="X72" s="226"/>
      <c r="Y72" s="226"/>
      <c r="Z72" s="226"/>
      <c r="AA72" s="226"/>
      <c r="AB72" s="226"/>
      <c r="AC72" s="226"/>
      <c r="AD72" s="226"/>
      <c r="AE72" s="226"/>
      <c r="AF72" s="226"/>
      <c r="AG72" s="226"/>
      <c r="AH72" s="53">
        <f t="shared" si="9"/>
        <v>0</v>
      </c>
      <c r="AI72" s="39" t="str">
        <f t="shared" si="5"/>
        <v>0</v>
      </c>
      <c r="AJ72" s="39" t="str">
        <f t="shared" si="6"/>
        <v>0</v>
      </c>
      <c r="AK72" s="39" t="str">
        <f t="shared" si="2"/>
        <v>0</v>
      </c>
      <c r="AL72" s="39">
        <f t="shared" si="3"/>
        <v>0</v>
      </c>
      <c r="AM72" s="239"/>
    </row>
    <row r="73" spans="1:39" s="7" customFormat="1" ht="12.75" customHeight="1" thickBot="1" x14ac:dyDescent="0.25">
      <c r="A73" s="400"/>
      <c r="B73" s="403"/>
      <c r="C73" s="46" t="s">
        <v>23</v>
      </c>
      <c r="D73" s="71" t="s">
        <v>67</v>
      </c>
      <c r="E73" s="285"/>
      <c r="F73" s="285"/>
      <c r="G73" s="230"/>
      <c r="H73" s="231"/>
      <c r="I73" s="47">
        <f t="shared" si="50"/>
        <v>0</v>
      </c>
      <c r="J73" s="48">
        <f t="shared" si="4"/>
        <v>0</v>
      </c>
      <c r="K73" s="232"/>
      <c r="L73" s="232"/>
      <c r="M73" s="232"/>
      <c r="N73" s="232"/>
      <c r="O73" s="232"/>
      <c r="P73" s="232"/>
      <c r="Q73" s="232"/>
      <c r="R73" s="232"/>
      <c r="S73" s="232"/>
      <c r="T73" s="232"/>
      <c r="U73" s="232"/>
      <c r="V73" s="232"/>
      <c r="W73" s="232"/>
      <c r="X73" s="232"/>
      <c r="Y73" s="232"/>
      <c r="Z73" s="232"/>
      <c r="AA73" s="232"/>
      <c r="AB73" s="232"/>
      <c r="AC73" s="232"/>
      <c r="AD73" s="232"/>
      <c r="AE73" s="232"/>
      <c r="AF73" s="232"/>
      <c r="AG73" s="232"/>
      <c r="AH73" s="49">
        <f t="shared" si="9"/>
        <v>0</v>
      </c>
      <c r="AI73" s="6" t="str">
        <f t="shared" si="5"/>
        <v>0</v>
      </c>
      <c r="AJ73" s="6" t="str">
        <f t="shared" si="6"/>
        <v>0</v>
      </c>
      <c r="AK73" s="6" t="str">
        <f t="shared" ref="AK73:AK98" si="51">IFERROR(F73/(F73+G73),"0")</f>
        <v>0</v>
      </c>
      <c r="AL73" s="6">
        <f t="shared" ref="AL73:AL98" si="52">IFERROR(AK73*AJ73*AI73,"0")</f>
        <v>0</v>
      </c>
      <c r="AM73" s="239"/>
    </row>
    <row r="74" spans="1:39" s="7" customFormat="1" ht="12.75" customHeight="1" thickBot="1" x14ac:dyDescent="0.25">
      <c r="A74" s="401"/>
      <c r="B74" s="404"/>
      <c r="C74" s="54" t="s">
        <v>23</v>
      </c>
      <c r="D74" s="72" t="s">
        <v>66</v>
      </c>
      <c r="E74" s="286"/>
      <c r="F74" s="286"/>
      <c r="G74" s="236"/>
      <c r="H74" s="237"/>
      <c r="I74" s="279">
        <f t="shared" si="50"/>
        <v>0</v>
      </c>
      <c r="J74" s="56">
        <f t="shared" ref="J74:J98" si="53">H74-AH74</f>
        <v>0</v>
      </c>
      <c r="K74" s="238"/>
      <c r="L74" s="238"/>
      <c r="M74" s="238"/>
      <c r="N74" s="238"/>
      <c r="O74" s="238"/>
      <c r="P74" s="238"/>
      <c r="Q74" s="238"/>
      <c r="R74" s="238"/>
      <c r="S74" s="238"/>
      <c r="T74" s="238"/>
      <c r="U74" s="238"/>
      <c r="V74" s="238"/>
      <c r="W74" s="238"/>
      <c r="X74" s="238"/>
      <c r="Y74" s="238"/>
      <c r="Z74" s="238"/>
      <c r="AA74" s="238"/>
      <c r="AB74" s="238"/>
      <c r="AC74" s="238"/>
      <c r="AD74" s="238"/>
      <c r="AE74" s="238"/>
      <c r="AF74" s="238"/>
      <c r="AG74" s="238"/>
      <c r="AH74" s="57">
        <f t="shared" si="9"/>
        <v>0</v>
      </c>
      <c r="AI74" s="41" t="str">
        <f t="shared" ref="AI74:AI98" si="54">IFERROR(J74/H74,"0")</f>
        <v>0</v>
      </c>
      <c r="AJ74" s="41" t="str">
        <f t="shared" ref="AJ74:AJ98" si="55">IFERROR(F74/E74,"0")</f>
        <v>0</v>
      </c>
      <c r="AK74" s="41" t="str">
        <f t="shared" si="51"/>
        <v>0</v>
      </c>
      <c r="AL74" s="41">
        <f t="shared" si="52"/>
        <v>0</v>
      </c>
      <c r="AM74" s="239"/>
    </row>
    <row r="75" spans="1:39" s="7" customFormat="1" ht="12.75" customHeight="1" thickBot="1" x14ac:dyDescent="0.25">
      <c r="A75" s="399">
        <f t="shared" ref="A75" si="56">A72+1</f>
        <v>46046</v>
      </c>
      <c r="B75" s="402">
        <f t="shared" ref="B75" si="57">A75</f>
        <v>46046</v>
      </c>
      <c r="C75" s="50" t="s">
        <v>23</v>
      </c>
      <c r="D75" s="68" t="s">
        <v>65</v>
      </c>
      <c r="E75" s="284">
        <v>2000</v>
      </c>
      <c r="F75" s="284">
        <v>800</v>
      </c>
      <c r="G75" s="224">
        <v>0</v>
      </c>
      <c r="H75" s="225">
        <v>660</v>
      </c>
      <c r="I75" s="51">
        <f t="shared" si="50"/>
        <v>30</v>
      </c>
      <c r="J75" s="52">
        <f t="shared" si="53"/>
        <v>264</v>
      </c>
      <c r="K75" s="226"/>
      <c r="L75" s="226"/>
      <c r="M75" s="226">
        <v>366</v>
      </c>
      <c r="N75" s="226"/>
      <c r="O75" s="226"/>
      <c r="P75" s="226"/>
      <c r="Q75" s="226"/>
      <c r="R75" s="226"/>
      <c r="S75" s="226"/>
      <c r="T75" s="226"/>
      <c r="U75" s="226"/>
      <c r="V75" s="226"/>
      <c r="W75" s="226"/>
      <c r="X75" s="226"/>
      <c r="Y75" s="226"/>
      <c r="Z75" s="226">
        <v>30</v>
      </c>
      <c r="AA75" s="226"/>
      <c r="AB75" s="226"/>
      <c r="AC75" s="226"/>
      <c r="AD75" s="226"/>
      <c r="AE75" s="226"/>
      <c r="AF75" s="226"/>
      <c r="AG75" s="226"/>
      <c r="AH75" s="53">
        <f t="shared" si="9"/>
        <v>396</v>
      </c>
      <c r="AI75" s="39">
        <f t="shared" si="54"/>
        <v>0.4</v>
      </c>
      <c r="AJ75" s="39">
        <f t="shared" si="55"/>
        <v>0.4</v>
      </c>
      <c r="AK75" s="39">
        <f t="shared" si="51"/>
        <v>1</v>
      </c>
      <c r="AL75" s="39">
        <f t="shared" si="52"/>
        <v>0.16000000000000003</v>
      </c>
      <c r="AM75" s="239" t="s">
        <v>110</v>
      </c>
    </row>
    <row r="76" spans="1:39" s="7" customFormat="1" ht="12.75" customHeight="1" thickBot="1" x14ac:dyDescent="0.25">
      <c r="A76" s="400"/>
      <c r="B76" s="403"/>
      <c r="C76" s="46" t="s">
        <v>23</v>
      </c>
      <c r="D76" s="71" t="s">
        <v>67</v>
      </c>
      <c r="E76" s="285">
        <v>3000</v>
      </c>
      <c r="F76" s="285">
        <v>1780</v>
      </c>
      <c r="G76" s="296">
        <v>0</v>
      </c>
      <c r="H76" s="231">
        <v>660</v>
      </c>
      <c r="I76" s="47">
        <f t="shared" si="50"/>
        <v>30</v>
      </c>
      <c r="J76" s="48">
        <f t="shared" si="53"/>
        <v>392</v>
      </c>
      <c r="K76" s="232"/>
      <c r="L76" s="232"/>
      <c r="M76" s="232">
        <v>238</v>
      </c>
      <c r="N76" s="232"/>
      <c r="O76" s="232"/>
      <c r="P76" s="232"/>
      <c r="Q76" s="232"/>
      <c r="R76" s="232"/>
      <c r="S76" s="232"/>
      <c r="T76" s="232"/>
      <c r="U76" s="232"/>
      <c r="V76" s="232"/>
      <c r="W76" s="232"/>
      <c r="X76" s="232"/>
      <c r="Y76" s="232"/>
      <c r="Z76" s="232">
        <v>30</v>
      </c>
      <c r="AA76" s="232"/>
      <c r="AB76" s="232"/>
      <c r="AC76" s="232"/>
      <c r="AD76" s="232"/>
      <c r="AE76" s="232"/>
      <c r="AF76" s="232"/>
      <c r="AG76" s="232"/>
      <c r="AH76" s="49">
        <f t="shared" ref="AH76:AH98" si="58">SUM(K76:AG76)</f>
        <v>268</v>
      </c>
      <c r="AI76" s="6">
        <f t="shared" si="54"/>
        <v>0.59393939393939399</v>
      </c>
      <c r="AJ76" s="6">
        <f t="shared" si="55"/>
        <v>0.59333333333333338</v>
      </c>
      <c r="AK76" s="6">
        <f t="shared" si="51"/>
        <v>1</v>
      </c>
      <c r="AL76" s="6">
        <f t="shared" si="52"/>
        <v>0.35240404040404044</v>
      </c>
      <c r="AM76" s="239" t="s">
        <v>109</v>
      </c>
    </row>
    <row r="77" spans="1:39" s="7" customFormat="1" ht="12.75" customHeight="1" thickBot="1" x14ac:dyDescent="0.25">
      <c r="A77" s="401"/>
      <c r="B77" s="404"/>
      <c r="C77" s="54" t="s">
        <v>23</v>
      </c>
      <c r="D77" s="72" t="s">
        <v>66</v>
      </c>
      <c r="E77" s="286">
        <v>3000</v>
      </c>
      <c r="F77" s="286">
        <v>2750</v>
      </c>
      <c r="G77" s="297">
        <v>32</v>
      </c>
      <c r="H77" s="237">
        <v>660</v>
      </c>
      <c r="I77" s="279">
        <f t="shared" si="50"/>
        <v>30</v>
      </c>
      <c r="J77" s="56">
        <f t="shared" si="53"/>
        <v>605</v>
      </c>
      <c r="K77" s="238"/>
      <c r="L77" s="238"/>
      <c r="M77" s="238">
        <v>25</v>
      </c>
      <c r="N77" s="238"/>
      <c r="O77" s="238"/>
      <c r="P77" s="238"/>
      <c r="Q77" s="238"/>
      <c r="R77" s="238"/>
      <c r="S77" s="238"/>
      <c r="T77" s="238"/>
      <c r="U77" s="238"/>
      <c r="V77" s="238"/>
      <c r="W77" s="238"/>
      <c r="X77" s="238"/>
      <c r="Y77" s="238"/>
      <c r="Z77" s="238">
        <v>30</v>
      </c>
      <c r="AA77" s="238"/>
      <c r="AB77" s="238"/>
      <c r="AC77" s="238"/>
      <c r="AD77" s="238"/>
      <c r="AE77" s="238"/>
      <c r="AF77" s="238"/>
      <c r="AG77" s="238"/>
      <c r="AH77" s="57">
        <f t="shared" si="58"/>
        <v>55</v>
      </c>
      <c r="AI77" s="41">
        <f t="shared" si="54"/>
        <v>0.91666666666666663</v>
      </c>
      <c r="AJ77" s="41">
        <f t="shared" si="55"/>
        <v>0.91666666666666663</v>
      </c>
      <c r="AK77" s="41">
        <f t="shared" si="51"/>
        <v>0.98849748382458658</v>
      </c>
      <c r="AL77" s="41">
        <f t="shared" si="52"/>
        <v>0.83061246904704844</v>
      </c>
      <c r="AM77" s="239"/>
    </row>
    <row r="78" spans="1:39" s="7" customFormat="1" ht="12.75" customHeight="1" thickBot="1" x14ac:dyDescent="0.25">
      <c r="A78" s="399">
        <f t="shared" ref="A78" si="59">A75+1</f>
        <v>46047</v>
      </c>
      <c r="B78" s="402">
        <f t="shared" ref="B78" si="60">A78</f>
        <v>46047</v>
      </c>
      <c r="C78" s="50" t="s">
        <v>23</v>
      </c>
      <c r="D78" s="68" t="s">
        <v>65</v>
      </c>
      <c r="E78" s="284">
        <v>2000</v>
      </c>
      <c r="F78" s="284">
        <v>1040</v>
      </c>
      <c r="G78" s="224">
        <v>0</v>
      </c>
      <c r="H78" s="225">
        <v>660</v>
      </c>
      <c r="I78" s="51">
        <f t="shared" si="50"/>
        <v>30</v>
      </c>
      <c r="J78" s="52">
        <f t="shared" si="53"/>
        <v>343</v>
      </c>
      <c r="K78" s="226"/>
      <c r="L78" s="226"/>
      <c r="M78" s="226">
        <v>287</v>
      </c>
      <c r="N78" s="226"/>
      <c r="O78" s="226"/>
      <c r="P78" s="226"/>
      <c r="Q78" s="226"/>
      <c r="R78" s="226"/>
      <c r="S78" s="226"/>
      <c r="T78" s="226"/>
      <c r="U78" s="226"/>
      <c r="V78" s="226"/>
      <c r="W78" s="226"/>
      <c r="X78" s="226"/>
      <c r="Y78" s="226"/>
      <c r="Z78" s="226">
        <v>30</v>
      </c>
      <c r="AA78" s="226"/>
      <c r="AB78" s="226"/>
      <c r="AC78" s="226"/>
      <c r="AD78" s="226"/>
      <c r="AE78" s="226"/>
      <c r="AF78" s="226"/>
      <c r="AG78" s="226"/>
      <c r="AH78" s="53">
        <f t="shared" si="58"/>
        <v>317</v>
      </c>
      <c r="AI78" s="39">
        <f t="shared" si="54"/>
        <v>0.51969696969696966</v>
      </c>
      <c r="AJ78" s="39">
        <f t="shared" si="55"/>
        <v>0.52</v>
      </c>
      <c r="AK78" s="39">
        <f t="shared" si="51"/>
        <v>1</v>
      </c>
      <c r="AL78" s="39">
        <f t="shared" si="52"/>
        <v>0.27024242424242423</v>
      </c>
      <c r="AM78" s="239" t="s">
        <v>110</v>
      </c>
    </row>
    <row r="79" spans="1:39" s="7" customFormat="1" ht="12.75" customHeight="1" thickBot="1" x14ac:dyDescent="0.25">
      <c r="A79" s="400"/>
      <c r="B79" s="403"/>
      <c r="C79" s="46" t="s">
        <v>23</v>
      </c>
      <c r="D79" s="71" t="s">
        <v>67</v>
      </c>
      <c r="E79" s="285">
        <v>3000</v>
      </c>
      <c r="F79" s="285">
        <v>1400</v>
      </c>
      <c r="G79" s="296">
        <v>0</v>
      </c>
      <c r="H79" s="231">
        <v>660</v>
      </c>
      <c r="I79" s="47">
        <f t="shared" si="50"/>
        <v>30</v>
      </c>
      <c r="J79" s="48">
        <f t="shared" si="53"/>
        <v>308</v>
      </c>
      <c r="K79" s="232"/>
      <c r="L79" s="232"/>
      <c r="M79" s="232">
        <v>322</v>
      </c>
      <c r="N79" s="232"/>
      <c r="O79" s="232"/>
      <c r="P79" s="232"/>
      <c r="Q79" s="232"/>
      <c r="R79" s="232"/>
      <c r="S79" s="232"/>
      <c r="T79" s="232"/>
      <c r="U79" s="232"/>
      <c r="V79" s="232"/>
      <c r="W79" s="232"/>
      <c r="X79" s="232"/>
      <c r="Y79" s="232"/>
      <c r="Z79" s="232">
        <v>30</v>
      </c>
      <c r="AA79" s="232"/>
      <c r="AB79" s="232"/>
      <c r="AC79" s="232"/>
      <c r="AD79" s="232"/>
      <c r="AE79" s="232"/>
      <c r="AF79" s="232"/>
      <c r="AG79" s="232"/>
      <c r="AH79" s="49">
        <f t="shared" si="58"/>
        <v>352</v>
      </c>
      <c r="AI79" s="6">
        <f t="shared" si="54"/>
        <v>0.46666666666666667</v>
      </c>
      <c r="AJ79" s="6">
        <f t="shared" si="55"/>
        <v>0.46666666666666667</v>
      </c>
      <c r="AK79" s="6">
        <f t="shared" si="51"/>
        <v>1</v>
      </c>
      <c r="AL79" s="6">
        <f t="shared" si="52"/>
        <v>0.21777777777777779</v>
      </c>
      <c r="AM79" s="239" t="s">
        <v>109</v>
      </c>
    </row>
    <row r="80" spans="1:39" s="7" customFormat="1" ht="12.75" customHeight="1" thickBot="1" x14ac:dyDescent="0.25">
      <c r="A80" s="401"/>
      <c r="B80" s="404"/>
      <c r="C80" s="54" t="s">
        <v>23</v>
      </c>
      <c r="D80" s="72" t="s">
        <v>66</v>
      </c>
      <c r="E80" s="286">
        <v>3000</v>
      </c>
      <c r="F80" s="286">
        <v>1830</v>
      </c>
      <c r="G80" s="297">
        <v>5</v>
      </c>
      <c r="H80" s="237">
        <v>660</v>
      </c>
      <c r="I80" s="279">
        <f t="shared" si="50"/>
        <v>30</v>
      </c>
      <c r="J80" s="56">
        <f t="shared" si="53"/>
        <v>403</v>
      </c>
      <c r="K80" s="238"/>
      <c r="L80" s="238"/>
      <c r="M80" s="238">
        <v>227</v>
      </c>
      <c r="N80" s="238"/>
      <c r="O80" s="238"/>
      <c r="P80" s="238"/>
      <c r="Q80" s="238"/>
      <c r="R80" s="238"/>
      <c r="S80" s="238"/>
      <c r="T80" s="238"/>
      <c r="U80" s="238"/>
      <c r="V80" s="238"/>
      <c r="W80" s="238"/>
      <c r="X80" s="238"/>
      <c r="Y80" s="238"/>
      <c r="Z80" s="238">
        <v>30</v>
      </c>
      <c r="AA80" s="238"/>
      <c r="AB80" s="238"/>
      <c r="AC80" s="238"/>
      <c r="AD80" s="238"/>
      <c r="AE80" s="238"/>
      <c r="AF80" s="238"/>
      <c r="AG80" s="238"/>
      <c r="AH80" s="57">
        <f t="shared" si="58"/>
        <v>257</v>
      </c>
      <c r="AI80" s="41">
        <f t="shared" si="54"/>
        <v>0.6106060606060606</v>
      </c>
      <c r="AJ80" s="41">
        <f t="shared" si="55"/>
        <v>0.61</v>
      </c>
      <c r="AK80" s="41">
        <f t="shared" si="51"/>
        <v>0.99727520435967298</v>
      </c>
      <c r="AL80" s="41">
        <f t="shared" si="52"/>
        <v>0.37145479316323998</v>
      </c>
      <c r="AM80" s="239" t="s">
        <v>109</v>
      </c>
    </row>
    <row r="81" spans="1:39" s="7" customFormat="1" ht="12.75" customHeight="1" thickBot="1" x14ac:dyDescent="0.25">
      <c r="A81" s="399">
        <f t="shared" ref="A81" si="61">A78+1</f>
        <v>46048</v>
      </c>
      <c r="B81" s="402">
        <f t="shared" ref="B81" si="62">A81</f>
        <v>46048</v>
      </c>
      <c r="C81" s="50" t="s">
        <v>23</v>
      </c>
      <c r="D81" s="68" t="s">
        <v>65</v>
      </c>
      <c r="E81" s="284">
        <v>1450</v>
      </c>
      <c r="F81" s="284">
        <v>560</v>
      </c>
      <c r="G81" s="224">
        <v>0</v>
      </c>
      <c r="H81" s="225">
        <v>480</v>
      </c>
      <c r="I81" s="51">
        <f t="shared" si="50"/>
        <v>30</v>
      </c>
      <c r="J81" s="52">
        <f t="shared" si="53"/>
        <v>185</v>
      </c>
      <c r="K81" s="226"/>
      <c r="L81" s="226"/>
      <c r="M81" s="226">
        <v>265</v>
      </c>
      <c r="N81" s="226"/>
      <c r="O81" s="226"/>
      <c r="P81" s="226"/>
      <c r="Q81" s="226"/>
      <c r="R81" s="226"/>
      <c r="S81" s="226"/>
      <c r="T81" s="226"/>
      <c r="U81" s="226"/>
      <c r="V81" s="226"/>
      <c r="W81" s="226"/>
      <c r="X81" s="226"/>
      <c r="Y81" s="226"/>
      <c r="Z81" s="226">
        <v>30</v>
      </c>
      <c r="AA81" s="226"/>
      <c r="AB81" s="226"/>
      <c r="AC81" s="226"/>
      <c r="AD81" s="226"/>
      <c r="AE81" s="226"/>
      <c r="AF81" s="226"/>
      <c r="AG81" s="226"/>
      <c r="AH81" s="53">
        <f t="shared" si="58"/>
        <v>295</v>
      </c>
      <c r="AI81" s="39">
        <f t="shared" si="54"/>
        <v>0.38541666666666669</v>
      </c>
      <c r="AJ81" s="39">
        <f t="shared" si="55"/>
        <v>0.38620689655172413</v>
      </c>
      <c r="AK81" s="39">
        <f t="shared" si="51"/>
        <v>1</v>
      </c>
      <c r="AL81" s="39">
        <f t="shared" si="52"/>
        <v>0.14885057471264368</v>
      </c>
      <c r="AM81" s="239" t="s">
        <v>110</v>
      </c>
    </row>
    <row r="82" spans="1:39" s="7" customFormat="1" ht="12.75" customHeight="1" thickBot="1" x14ac:dyDescent="0.25">
      <c r="A82" s="400"/>
      <c r="B82" s="403"/>
      <c r="C82" s="46" t="s">
        <v>23</v>
      </c>
      <c r="D82" s="71" t="s">
        <v>67</v>
      </c>
      <c r="E82" s="285">
        <v>2200</v>
      </c>
      <c r="F82" s="285">
        <v>1320</v>
      </c>
      <c r="G82" s="296">
        <v>3</v>
      </c>
      <c r="H82" s="225">
        <v>480</v>
      </c>
      <c r="I82" s="47">
        <f t="shared" si="50"/>
        <v>30</v>
      </c>
      <c r="J82" s="48">
        <f t="shared" si="53"/>
        <v>288</v>
      </c>
      <c r="K82" s="232"/>
      <c r="L82" s="232"/>
      <c r="M82" s="232">
        <v>162</v>
      </c>
      <c r="N82" s="232"/>
      <c r="O82" s="232"/>
      <c r="P82" s="232"/>
      <c r="Q82" s="232"/>
      <c r="R82" s="232"/>
      <c r="S82" s="232"/>
      <c r="T82" s="232"/>
      <c r="U82" s="232"/>
      <c r="V82" s="232"/>
      <c r="W82" s="232"/>
      <c r="X82" s="232"/>
      <c r="Y82" s="232"/>
      <c r="Z82" s="232">
        <v>30</v>
      </c>
      <c r="AA82" s="232"/>
      <c r="AB82" s="232"/>
      <c r="AC82" s="232"/>
      <c r="AD82" s="232"/>
      <c r="AE82" s="232"/>
      <c r="AF82" s="232"/>
      <c r="AG82" s="232"/>
      <c r="AH82" s="49">
        <f t="shared" si="58"/>
        <v>192</v>
      </c>
      <c r="AI82" s="6">
        <f t="shared" si="54"/>
        <v>0.6</v>
      </c>
      <c r="AJ82" s="6">
        <f t="shared" si="55"/>
        <v>0.6</v>
      </c>
      <c r="AK82" s="6">
        <f t="shared" si="51"/>
        <v>0.99773242630385484</v>
      </c>
      <c r="AL82" s="6">
        <f t="shared" si="52"/>
        <v>0.35918367346938773</v>
      </c>
      <c r="AM82" s="239" t="s">
        <v>109</v>
      </c>
    </row>
    <row r="83" spans="1:39" s="7" customFormat="1" ht="12.75" customHeight="1" thickBot="1" x14ac:dyDescent="0.25">
      <c r="A83" s="401"/>
      <c r="B83" s="404"/>
      <c r="C83" s="54" t="s">
        <v>23</v>
      </c>
      <c r="D83" s="72" t="s">
        <v>66</v>
      </c>
      <c r="E83" s="286">
        <v>2200</v>
      </c>
      <c r="F83" s="286">
        <v>1300</v>
      </c>
      <c r="G83" s="297">
        <v>18</v>
      </c>
      <c r="H83" s="225">
        <v>480</v>
      </c>
      <c r="I83" s="279">
        <f t="shared" si="50"/>
        <v>30</v>
      </c>
      <c r="J83" s="56">
        <f t="shared" si="53"/>
        <v>284</v>
      </c>
      <c r="K83" s="238"/>
      <c r="L83" s="238"/>
      <c r="M83" s="238">
        <v>166</v>
      </c>
      <c r="N83" s="238"/>
      <c r="O83" s="238"/>
      <c r="P83" s="238"/>
      <c r="Q83" s="238"/>
      <c r="R83" s="238"/>
      <c r="S83" s="238"/>
      <c r="T83" s="238"/>
      <c r="U83" s="238"/>
      <c r="V83" s="238"/>
      <c r="W83" s="238"/>
      <c r="X83" s="238"/>
      <c r="Y83" s="238"/>
      <c r="Z83" s="238">
        <v>30</v>
      </c>
      <c r="AA83" s="238"/>
      <c r="AB83" s="238"/>
      <c r="AC83" s="238"/>
      <c r="AD83" s="238"/>
      <c r="AE83" s="238"/>
      <c r="AF83" s="238"/>
      <c r="AG83" s="238"/>
      <c r="AH83" s="57">
        <f t="shared" si="58"/>
        <v>196</v>
      </c>
      <c r="AI83" s="41">
        <f t="shared" si="54"/>
        <v>0.59166666666666667</v>
      </c>
      <c r="AJ83" s="41">
        <f t="shared" si="55"/>
        <v>0.59090909090909094</v>
      </c>
      <c r="AK83" s="41">
        <f t="shared" si="51"/>
        <v>0.98634294385432475</v>
      </c>
      <c r="AL83" s="41">
        <f t="shared" si="52"/>
        <v>0.34484641559755369</v>
      </c>
      <c r="AM83" s="239" t="s">
        <v>109</v>
      </c>
    </row>
    <row r="84" spans="1:39" s="7" customFormat="1" ht="12.75" customHeight="1" thickBot="1" x14ac:dyDescent="0.25">
      <c r="A84" s="399">
        <f t="shared" ref="A84" si="63">A81+1</f>
        <v>46049</v>
      </c>
      <c r="B84" s="402">
        <f t="shared" ref="B84" si="64">A84</f>
        <v>46049</v>
      </c>
      <c r="C84" s="50" t="s">
        <v>23</v>
      </c>
      <c r="D84" s="68" t="s">
        <v>65</v>
      </c>
      <c r="E84" s="284">
        <v>1450</v>
      </c>
      <c r="F84" s="284">
        <v>1060</v>
      </c>
      <c r="G84" s="224">
        <v>0</v>
      </c>
      <c r="H84" s="225">
        <v>480</v>
      </c>
      <c r="I84" s="51">
        <f t="shared" si="50"/>
        <v>30</v>
      </c>
      <c r="J84" s="52">
        <f t="shared" si="53"/>
        <v>353</v>
      </c>
      <c r="K84" s="226"/>
      <c r="L84" s="226"/>
      <c r="M84" s="226">
        <v>97</v>
      </c>
      <c r="N84" s="226"/>
      <c r="O84" s="226"/>
      <c r="P84" s="226"/>
      <c r="Q84" s="226"/>
      <c r="R84" s="226"/>
      <c r="S84" s="226"/>
      <c r="T84" s="226"/>
      <c r="U84" s="226"/>
      <c r="V84" s="226"/>
      <c r="W84" s="226"/>
      <c r="X84" s="226"/>
      <c r="Y84" s="226"/>
      <c r="Z84" s="226">
        <v>30</v>
      </c>
      <c r="AA84" s="226"/>
      <c r="AB84" s="226"/>
      <c r="AC84" s="226"/>
      <c r="AD84" s="226"/>
      <c r="AE84" s="226"/>
      <c r="AF84" s="226"/>
      <c r="AG84" s="226"/>
      <c r="AH84" s="53">
        <f t="shared" si="58"/>
        <v>127</v>
      </c>
      <c r="AI84" s="39">
        <f t="shared" si="54"/>
        <v>0.73541666666666672</v>
      </c>
      <c r="AJ84" s="39">
        <f t="shared" si="55"/>
        <v>0.73103448275862071</v>
      </c>
      <c r="AK84" s="39">
        <f t="shared" si="51"/>
        <v>1</v>
      </c>
      <c r="AL84" s="39">
        <f t="shared" si="52"/>
        <v>0.53761494252873565</v>
      </c>
      <c r="AM84" s="239" t="s">
        <v>110</v>
      </c>
    </row>
    <row r="85" spans="1:39" s="7" customFormat="1" ht="12.75" customHeight="1" thickBot="1" x14ac:dyDescent="0.25">
      <c r="A85" s="400"/>
      <c r="B85" s="403"/>
      <c r="C85" s="46" t="s">
        <v>23</v>
      </c>
      <c r="D85" s="71" t="s">
        <v>67</v>
      </c>
      <c r="E85" s="285">
        <v>2200</v>
      </c>
      <c r="F85" s="285">
        <v>950</v>
      </c>
      <c r="G85" s="296">
        <v>2</v>
      </c>
      <c r="H85" s="225">
        <v>480</v>
      </c>
      <c r="I85" s="47">
        <f t="shared" si="50"/>
        <v>30</v>
      </c>
      <c r="J85" s="48">
        <f t="shared" si="53"/>
        <v>307</v>
      </c>
      <c r="K85" s="232"/>
      <c r="L85" s="232"/>
      <c r="M85" s="232">
        <v>143</v>
      </c>
      <c r="N85" s="232"/>
      <c r="O85" s="232"/>
      <c r="P85" s="232"/>
      <c r="Q85" s="232"/>
      <c r="R85" s="232"/>
      <c r="S85" s="232"/>
      <c r="T85" s="232"/>
      <c r="U85" s="232"/>
      <c r="V85" s="232"/>
      <c r="W85" s="232"/>
      <c r="X85" s="232"/>
      <c r="Y85" s="232"/>
      <c r="Z85" s="232">
        <v>30</v>
      </c>
      <c r="AA85" s="232"/>
      <c r="AB85" s="232"/>
      <c r="AC85" s="232"/>
      <c r="AD85" s="232"/>
      <c r="AE85" s="232"/>
      <c r="AF85" s="232"/>
      <c r="AG85" s="232"/>
      <c r="AH85" s="49">
        <f t="shared" si="58"/>
        <v>173</v>
      </c>
      <c r="AI85" s="6">
        <f t="shared" si="54"/>
        <v>0.63958333333333328</v>
      </c>
      <c r="AJ85" s="6">
        <f t="shared" si="55"/>
        <v>0.43181818181818182</v>
      </c>
      <c r="AK85" s="6">
        <f t="shared" si="51"/>
        <v>0.99789915966386555</v>
      </c>
      <c r="AL85" s="6">
        <f t="shared" si="52"/>
        <v>0.27560349423860453</v>
      </c>
      <c r="AM85" s="239" t="s">
        <v>109</v>
      </c>
    </row>
    <row r="86" spans="1:39" s="7" customFormat="1" ht="12.75" customHeight="1" thickBot="1" x14ac:dyDescent="0.25">
      <c r="A86" s="401"/>
      <c r="B86" s="404"/>
      <c r="C86" s="54" t="s">
        <v>23</v>
      </c>
      <c r="D86" s="72" t="s">
        <v>66</v>
      </c>
      <c r="E86" s="286">
        <v>2200</v>
      </c>
      <c r="F86" s="286">
        <v>1340</v>
      </c>
      <c r="G86" s="297">
        <v>16</v>
      </c>
      <c r="H86" s="225">
        <v>480</v>
      </c>
      <c r="I86" s="279">
        <f t="shared" si="50"/>
        <v>30</v>
      </c>
      <c r="J86" s="56">
        <f t="shared" si="53"/>
        <v>292</v>
      </c>
      <c r="K86" s="238"/>
      <c r="L86" s="238"/>
      <c r="M86" s="238">
        <v>158</v>
      </c>
      <c r="N86" s="238"/>
      <c r="O86" s="238"/>
      <c r="P86" s="238"/>
      <c r="Q86" s="238"/>
      <c r="R86" s="238"/>
      <c r="S86" s="238"/>
      <c r="T86" s="238"/>
      <c r="U86" s="238"/>
      <c r="V86" s="238"/>
      <c r="W86" s="238"/>
      <c r="X86" s="238"/>
      <c r="Y86" s="238"/>
      <c r="Z86" s="238">
        <v>30</v>
      </c>
      <c r="AA86" s="238"/>
      <c r="AB86" s="238"/>
      <c r="AC86" s="238"/>
      <c r="AD86" s="238"/>
      <c r="AE86" s="238"/>
      <c r="AF86" s="238"/>
      <c r="AG86" s="238"/>
      <c r="AH86" s="57">
        <f t="shared" si="58"/>
        <v>188</v>
      </c>
      <c r="AI86" s="41">
        <f t="shared" si="54"/>
        <v>0.60833333333333328</v>
      </c>
      <c r="AJ86" s="41">
        <f t="shared" si="55"/>
        <v>0.60909090909090913</v>
      </c>
      <c r="AK86" s="41">
        <f t="shared" si="51"/>
        <v>0.98820058997050142</v>
      </c>
      <c r="AL86" s="41">
        <f t="shared" si="52"/>
        <v>0.3661582640564941</v>
      </c>
      <c r="AM86" s="239" t="s">
        <v>109</v>
      </c>
    </row>
    <row r="87" spans="1:39" s="7" customFormat="1" ht="12.75" customHeight="1" thickBot="1" x14ac:dyDescent="0.25">
      <c r="A87" s="399">
        <f t="shared" ref="A87" si="65">A84+1</f>
        <v>46050</v>
      </c>
      <c r="B87" s="402">
        <f t="shared" ref="B87" si="66">A87</f>
        <v>46050</v>
      </c>
      <c r="C87" s="50" t="s">
        <v>23</v>
      </c>
      <c r="D87" s="68" t="s">
        <v>65</v>
      </c>
      <c r="E87" s="284">
        <v>1450</v>
      </c>
      <c r="F87" s="284">
        <v>1200</v>
      </c>
      <c r="G87" s="224">
        <v>0</v>
      </c>
      <c r="H87" s="225">
        <v>480</v>
      </c>
      <c r="I87" s="51">
        <f t="shared" si="50"/>
        <v>30</v>
      </c>
      <c r="J87" s="52">
        <f t="shared" si="53"/>
        <v>397</v>
      </c>
      <c r="K87" s="226"/>
      <c r="L87" s="226"/>
      <c r="M87" s="226">
        <v>53</v>
      </c>
      <c r="N87" s="226"/>
      <c r="O87" s="226"/>
      <c r="P87" s="226"/>
      <c r="Q87" s="226"/>
      <c r="R87" s="226"/>
      <c r="S87" s="226"/>
      <c r="T87" s="226"/>
      <c r="U87" s="226"/>
      <c r="V87" s="226"/>
      <c r="W87" s="226"/>
      <c r="X87" s="226"/>
      <c r="Y87" s="226"/>
      <c r="Z87" s="226">
        <v>30</v>
      </c>
      <c r="AA87" s="226"/>
      <c r="AB87" s="226"/>
      <c r="AC87" s="226"/>
      <c r="AD87" s="226"/>
      <c r="AE87" s="226"/>
      <c r="AF87" s="226"/>
      <c r="AG87" s="226"/>
      <c r="AH87" s="53">
        <f t="shared" si="58"/>
        <v>83</v>
      </c>
      <c r="AI87" s="39">
        <f t="shared" si="54"/>
        <v>0.82708333333333328</v>
      </c>
      <c r="AJ87" s="39">
        <f t="shared" si="55"/>
        <v>0.82758620689655171</v>
      </c>
      <c r="AK87" s="39">
        <f t="shared" si="51"/>
        <v>1</v>
      </c>
      <c r="AL87" s="39">
        <f t="shared" si="52"/>
        <v>0.68448275862068964</v>
      </c>
      <c r="AM87" s="239" t="s">
        <v>110</v>
      </c>
    </row>
    <row r="88" spans="1:39" s="7" customFormat="1" ht="12.75" customHeight="1" thickBot="1" x14ac:dyDescent="0.25">
      <c r="A88" s="400"/>
      <c r="B88" s="403"/>
      <c r="C88" s="46" t="s">
        <v>23</v>
      </c>
      <c r="D88" s="71" t="s">
        <v>67</v>
      </c>
      <c r="E88" s="285">
        <v>2200</v>
      </c>
      <c r="F88" s="285">
        <v>1400</v>
      </c>
      <c r="G88" s="230">
        <v>6</v>
      </c>
      <c r="H88" s="225">
        <v>480</v>
      </c>
      <c r="I88" s="47">
        <f t="shared" si="50"/>
        <v>30</v>
      </c>
      <c r="J88" s="48">
        <f t="shared" si="53"/>
        <v>305</v>
      </c>
      <c r="K88" s="232"/>
      <c r="L88" s="232"/>
      <c r="M88" s="232">
        <v>145</v>
      </c>
      <c r="N88" s="232"/>
      <c r="O88" s="232"/>
      <c r="P88" s="232"/>
      <c r="Q88" s="232"/>
      <c r="R88" s="232"/>
      <c r="S88" s="232"/>
      <c r="T88" s="232"/>
      <c r="U88" s="232"/>
      <c r="V88" s="232"/>
      <c r="W88" s="232"/>
      <c r="X88" s="232"/>
      <c r="Y88" s="232"/>
      <c r="Z88" s="232">
        <v>30</v>
      </c>
      <c r="AA88" s="232"/>
      <c r="AB88" s="232"/>
      <c r="AC88" s="232"/>
      <c r="AD88" s="232"/>
      <c r="AE88" s="232"/>
      <c r="AF88" s="232"/>
      <c r="AG88" s="232"/>
      <c r="AH88" s="49">
        <f t="shared" si="58"/>
        <v>175</v>
      </c>
      <c r="AI88" s="6">
        <f t="shared" si="54"/>
        <v>0.63541666666666663</v>
      </c>
      <c r="AJ88" s="6">
        <f t="shared" si="55"/>
        <v>0.63636363636363635</v>
      </c>
      <c r="AK88" s="6">
        <f t="shared" si="51"/>
        <v>0.99573257467994314</v>
      </c>
      <c r="AL88" s="6">
        <f t="shared" si="52"/>
        <v>0.40263050131471179</v>
      </c>
      <c r="AM88" s="239" t="s">
        <v>109</v>
      </c>
    </row>
    <row r="89" spans="1:39" s="7" customFormat="1" ht="12.75" customHeight="1" thickBot="1" x14ac:dyDescent="0.25">
      <c r="A89" s="401"/>
      <c r="B89" s="404"/>
      <c r="C89" s="54" t="s">
        <v>23</v>
      </c>
      <c r="D89" s="72" t="s">
        <v>66</v>
      </c>
      <c r="E89" s="286">
        <v>2200</v>
      </c>
      <c r="F89" s="286">
        <v>1210</v>
      </c>
      <c r="G89" s="236">
        <v>1</v>
      </c>
      <c r="H89" s="225">
        <v>480</v>
      </c>
      <c r="I89" s="279">
        <f t="shared" si="50"/>
        <v>30</v>
      </c>
      <c r="J89" s="56">
        <f t="shared" si="53"/>
        <v>264</v>
      </c>
      <c r="K89" s="238"/>
      <c r="L89" s="238"/>
      <c r="M89" s="238">
        <v>186</v>
      </c>
      <c r="N89" s="238"/>
      <c r="O89" s="238"/>
      <c r="P89" s="238"/>
      <c r="Q89" s="238"/>
      <c r="R89" s="238"/>
      <c r="S89" s="238"/>
      <c r="T89" s="238"/>
      <c r="U89" s="238"/>
      <c r="V89" s="238"/>
      <c r="W89" s="238"/>
      <c r="X89" s="238"/>
      <c r="Y89" s="238"/>
      <c r="Z89" s="238">
        <v>30</v>
      </c>
      <c r="AA89" s="238"/>
      <c r="AB89" s="238"/>
      <c r="AC89" s="238"/>
      <c r="AD89" s="238"/>
      <c r="AE89" s="238"/>
      <c r="AF89" s="238"/>
      <c r="AG89" s="238"/>
      <c r="AH89" s="57">
        <f t="shared" si="58"/>
        <v>216</v>
      </c>
      <c r="AI89" s="41">
        <f t="shared" si="54"/>
        <v>0.55000000000000004</v>
      </c>
      <c r="AJ89" s="41">
        <f t="shared" si="55"/>
        <v>0.55000000000000004</v>
      </c>
      <c r="AK89" s="41">
        <f t="shared" si="51"/>
        <v>0.9991742361684558</v>
      </c>
      <c r="AL89" s="41">
        <f t="shared" si="52"/>
        <v>0.30225020644095796</v>
      </c>
      <c r="AM89" s="239" t="s">
        <v>109</v>
      </c>
    </row>
    <row r="90" spans="1:39" s="7" customFormat="1" ht="12.75" customHeight="1" thickBot="1" x14ac:dyDescent="0.25">
      <c r="A90" s="399">
        <f t="shared" ref="A90" si="67">A87+1</f>
        <v>46051</v>
      </c>
      <c r="B90" s="402">
        <f t="shared" ref="B90" si="68">A90</f>
        <v>46051</v>
      </c>
      <c r="C90" s="50" t="s">
        <v>23</v>
      </c>
      <c r="D90" s="68" t="s">
        <v>65</v>
      </c>
      <c r="E90" s="284">
        <v>1450</v>
      </c>
      <c r="F90" s="284">
        <v>1370</v>
      </c>
      <c r="G90" s="224">
        <v>0</v>
      </c>
      <c r="H90" s="225">
        <v>480</v>
      </c>
      <c r="I90" s="51">
        <f t="shared" si="50"/>
        <v>30</v>
      </c>
      <c r="J90" s="52">
        <f t="shared" si="53"/>
        <v>454</v>
      </c>
      <c r="K90" s="226"/>
      <c r="L90" s="226"/>
      <c r="M90" s="238">
        <v>6</v>
      </c>
      <c r="N90" s="226"/>
      <c r="O90" s="226"/>
      <c r="P90" s="226"/>
      <c r="Q90" s="226"/>
      <c r="R90" s="226"/>
      <c r="S90" s="226"/>
      <c r="T90" s="226"/>
      <c r="U90" s="226"/>
      <c r="V90" s="226"/>
      <c r="W90" s="226"/>
      <c r="X90" s="226"/>
      <c r="Y90" s="226"/>
      <c r="Z90" s="226">
        <v>20</v>
      </c>
      <c r="AA90" s="226"/>
      <c r="AB90" s="226"/>
      <c r="AC90" s="226"/>
      <c r="AD90" s="226"/>
      <c r="AE90" s="226"/>
      <c r="AF90" s="226"/>
      <c r="AG90" s="226"/>
      <c r="AH90" s="53">
        <f t="shared" si="58"/>
        <v>26</v>
      </c>
      <c r="AI90" s="39">
        <f t="shared" si="54"/>
        <v>0.9458333333333333</v>
      </c>
      <c r="AJ90" s="39">
        <f t="shared" si="55"/>
        <v>0.94482758620689655</v>
      </c>
      <c r="AK90" s="39">
        <f t="shared" si="51"/>
        <v>1</v>
      </c>
      <c r="AL90" s="39">
        <f t="shared" si="52"/>
        <v>0.89364942528735625</v>
      </c>
      <c r="AM90" s="239"/>
    </row>
    <row r="91" spans="1:39" s="7" customFormat="1" ht="12.75" customHeight="1" thickBot="1" x14ac:dyDescent="0.25">
      <c r="A91" s="400"/>
      <c r="B91" s="403"/>
      <c r="C91" s="46" t="s">
        <v>23</v>
      </c>
      <c r="D91" s="71" t="s">
        <v>67</v>
      </c>
      <c r="E91" s="285">
        <v>2200</v>
      </c>
      <c r="F91" s="285">
        <v>900</v>
      </c>
      <c r="G91" s="230">
        <v>2</v>
      </c>
      <c r="H91" s="225">
        <v>480</v>
      </c>
      <c r="I91" s="47">
        <f t="shared" si="50"/>
        <v>30</v>
      </c>
      <c r="J91" s="48">
        <f t="shared" si="53"/>
        <v>196</v>
      </c>
      <c r="K91" s="232"/>
      <c r="L91" s="232"/>
      <c r="M91" s="232">
        <v>254</v>
      </c>
      <c r="N91" s="232"/>
      <c r="O91" s="232"/>
      <c r="P91" s="232"/>
      <c r="Q91" s="232"/>
      <c r="R91" s="232"/>
      <c r="S91" s="232"/>
      <c r="T91" s="232"/>
      <c r="U91" s="232"/>
      <c r="V91" s="232"/>
      <c r="W91" s="232"/>
      <c r="X91" s="232"/>
      <c r="Y91" s="232"/>
      <c r="Z91" s="232">
        <v>30</v>
      </c>
      <c r="AA91" s="232"/>
      <c r="AB91" s="232"/>
      <c r="AC91" s="232"/>
      <c r="AD91" s="232"/>
      <c r="AE91" s="232"/>
      <c r="AF91" s="232"/>
      <c r="AG91" s="232"/>
      <c r="AH91" s="49">
        <f t="shared" si="58"/>
        <v>284</v>
      </c>
      <c r="AI91" s="6">
        <f t="shared" si="54"/>
        <v>0.40833333333333333</v>
      </c>
      <c r="AJ91" s="6">
        <f t="shared" si="55"/>
        <v>0.40909090909090912</v>
      </c>
      <c r="AK91" s="6">
        <f t="shared" si="51"/>
        <v>0.99778270509977829</v>
      </c>
      <c r="AL91" s="6">
        <f t="shared" si="52"/>
        <v>0.16667506551098571</v>
      </c>
      <c r="AM91" s="239" t="s">
        <v>109</v>
      </c>
    </row>
    <row r="92" spans="1:39" s="7" customFormat="1" ht="12.75" customHeight="1" thickBot="1" x14ac:dyDescent="0.25">
      <c r="A92" s="401"/>
      <c r="B92" s="404"/>
      <c r="C92" s="54" t="s">
        <v>23</v>
      </c>
      <c r="D92" s="72" t="s">
        <v>66</v>
      </c>
      <c r="E92" s="286">
        <v>2200</v>
      </c>
      <c r="F92" s="286">
        <v>1640</v>
      </c>
      <c r="G92" s="236">
        <v>3</v>
      </c>
      <c r="H92" s="225">
        <v>480</v>
      </c>
      <c r="I92" s="279">
        <f t="shared" si="50"/>
        <v>30</v>
      </c>
      <c r="J92" s="56">
        <f t="shared" si="53"/>
        <v>358</v>
      </c>
      <c r="K92" s="238"/>
      <c r="L92" s="238"/>
      <c r="M92" s="238">
        <v>92</v>
      </c>
      <c r="N92" s="238"/>
      <c r="O92" s="238"/>
      <c r="P92" s="238"/>
      <c r="Q92" s="238"/>
      <c r="R92" s="238"/>
      <c r="S92" s="238"/>
      <c r="T92" s="238"/>
      <c r="U92" s="238"/>
      <c r="V92" s="238"/>
      <c r="W92" s="238"/>
      <c r="X92" s="238"/>
      <c r="Y92" s="238"/>
      <c r="Z92" s="238">
        <v>30</v>
      </c>
      <c r="AA92" s="238"/>
      <c r="AB92" s="238"/>
      <c r="AC92" s="238"/>
      <c r="AD92" s="238"/>
      <c r="AE92" s="238"/>
      <c r="AF92" s="238"/>
      <c r="AG92" s="238"/>
      <c r="AH92" s="57">
        <f t="shared" si="58"/>
        <v>122</v>
      </c>
      <c r="AI92" s="41">
        <f t="shared" si="54"/>
        <v>0.74583333333333335</v>
      </c>
      <c r="AJ92" s="41">
        <f t="shared" si="55"/>
        <v>0.74545454545454548</v>
      </c>
      <c r="AK92" s="41">
        <f t="shared" si="51"/>
        <v>0.99817407181984175</v>
      </c>
      <c r="AL92" s="41">
        <f t="shared" si="52"/>
        <v>0.55496966008225901</v>
      </c>
      <c r="AM92" s="239" t="s">
        <v>109</v>
      </c>
    </row>
    <row r="93" spans="1:39" s="7" customFormat="1" ht="12.75" customHeight="1" thickBot="1" x14ac:dyDescent="0.25">
      <c r="A93" s="399">
        <f t="shared" ref="A93" si="69">A90+1</f>
        <v>46052</v>
      </c>
      <c r="B93" s="402">
        <f t="shared" ref="B93" si="70">A93</f>
        <v>46052</v>
      </c>
      <c r="C93" s="50" t="s">
        <v>23</v>
      </c>
      <c r="D93" s="68" t="s">
        <v>65</v>
      </c>
      <c r="E93" s="284">
        <v>1450</v>
      </c>
      <c r="F93" s="284">
        <v>1010</v>
      </c>
      <c r="G93" s="224">
        <v>0</v>
      </c>
      <c r="H93" s="225">
        <v>480</v>
      </c>
      <c r="I93" s="51">
        <f t="shared" si="50"/>
        <v>30</v>
      </c>
      <c r="J93" s="52">
        <f t="shared" si="53"/>
        <v>334</v>
      </c>
      <c r="K93" s="226"/>
      <c r="L93" s="226"/>
      <c r="M93" s="226">
        <v>116</v>
      </c>
      <c r="N93" s="226"/>
      <c r="O93" s="226"/>
      <c r="P93" s="226"/>
      <c r="Q93" s="226"/>
      <c r="R93" s="226"/>
      <c r="S93" s="226"/>
      <c r="T93" s="226"/>
      <c r="U93" s="226"/>
      <c r="V93" s="226"/>
      <c r="W93" s="226"/>
      <c r="X93" s="226"/>
      <c r="Y93" s="226"/>
      <c r="Z93" s="226">
        <v>30</v>
      </c>
      <c r="AA93" s="226"/>
      <c r="AB93" s="226"/>
      <c r="AC93" s="226"/>
      <c r="AD93" s="226"/>
      <c r="AE93" s="226"/>
      <c r="AF93" s="226"/>
      <c r="AG93" s="226"/>
      <c r="AH93" s="53">
        <f t="shared" si="58"/>
        <v>146</v>
      </c>
      <c r="AI93" s="39">
        <f t="shared" si="54"/>
        <v>0.6958333333333333</v>
      </c>
      <c r="AJ93" s="39">
        <f t="shared" si="55"/>
        <v>0.69655172413793098</v>
      </c>
      <c r="AK93" s="39">
        <f t="shared" si="51"/>
        <v>1</v>
      </c>
      <c r="AL93" s="39">
        <f t="shared" si="52"/>
        <v>0.48468390804597694</v>
      </c>
      <c r="AM93" s="239" t="s">
        <v>110</v>
      </c>
    </row>
    <row r="94" spans="1:39" s="7" customFormat="1" ht="12.75" customHeight="1" thickBot="1" x14ac:dyDescent="0.25">
      <c r="A94" s="400"/>
      <c r="B94" s="403"/>
      <c r="C94" s="46" t="s">
        <v>23</v>
      </c>
      <c r="D94" s="71" t="s">
        <v>67</v>
      </c>
      <c r="E94" s="285">
        <v>2200</v>
      </c>
      <c r="F94" s="285">
        <v>1300</v>
      </c>
      <c r="G94" s="230">
        <v>2</v>
      </c>
      <c r="H94" s="225">
        <v>480</v>
      </c>
      <c r="I94" s="47">
        <f t="shared" si="50"/>
        <v>30</v>
      </c>
      <c r="J94" s="48">
        <f t="shared" si="53"/>
        <v>284</v>
      </c>
      <c r="K94" s="232"/>
      <c r="L94" s="232"/>
      <c r="M94" s="232">
        <v>166</v>
      </c>
      <c r="N94" s="232"/>
      <c r="O94" s="232"/>
      <c r="P94" s="232"/>
      <c r="Q94" s="232"/>
      <c r="R94" s="232"/>
      <c r="S94" s="232"/>
      <c r="T94" s="232"/>
      <c r="U94" s="232"/>
      <c r="V94" s="232"/>
      <c r="W94" s="232"/>
      <c r="X94" s="232"/>
      <c r="Y94" s="232"/>
      <c r="Z94" s="232">
        <v>30</v>
      </c>
      <c r="AA94" s="232"/>
      <c r="AB94" s="232"/>
      <c r="AC94" s="232"/>
      <c r="AD94" s="232"/>
      <c r="AE94" s="232"/>
      <c r="AF94" s="232"/>
      <c r="AG94" s="232"/>
      <c r="AH94" s="49">
        <f t="shared" si="58"/>
        <v>196</v>
      </c>
      <c r="AI94" s="6">
        <f t="shared" si="54"/>
        <v>0.59166666666666667</v>
      </c>
      <c r="AJ94" s="6">
        <f t="shared" si="55"/>
        <v>0.59090909090909094</v>
      </c>
      <c r="AK94" s="6">
        <f t="shared" si="51"/>
        <v>0.99846390168970811</v>
      </c>
      <c r="AL94" s="6">
        <f t="shared" si="52"/>
        <v>0.34908415956803057</v>
      </c>
      <c r="AM94" s="239" t="s">
        <v>109</v>
      </c>
    </row>
    <row r="95" spans="1:39" s="7" customFormat="1" ht="12.75" customHeight="1" thickBot="1" x14ac:dyDescent="0.25">
      <c r="A95" s="401"/>
      <c r="B95" s="404"/>
      <c r="C95" s="54" t="s">
        <v>23</v>
      </c>
      <c r="D95" s="72" t="s">
        <v>66</v>
      </c>
      <c r="E95" s="286">
        <v>2200</v>
      </c>
      <c r="F95" s="286">
        <v>340</v>
      </c>
      <c r="G95" s="236">
        <v>4</v>
      </c>
      <c r="H95" s="225">
        <v>480</v>
      </c>
      <c r="I95" s="279">
        <f t="shared" si="50"/>
        <v>30</v>
      </c>
      <c r="J95" s="56">
        <f t="shared" si="53"/>
        <v>74</v>
      </c>
      <c r="K95" s="238"/>
      <c r="L95" s="238"/>
      <c r="M95" s="238">
        <v>376</v>
      </c>
      <c r="N95" s="238"/>
      <c r="O95" s="238"/>
      <c r="P95" s="238"/>
      <c r="Q95" s="238"/>
      <c r="R95" s="238"/>
      <c r="S95" s="238"/>
      <c r="T95" s="238"/>
      <c r="U95" s="238"/>
      <c r="V95" s="238"/>
      <c r="W95" s="238"/>
      <c r="X95" s="238"/>
      <c r="Y95" s="238"/>
      <c r="Z95" s="238">
        <v>30</v>
      </c>
      <c r="AA95" s="238"/>
      <c r="AB95" s="238"/>
      <c r="AC95" s="238"/>
      <c r="AD95" s="238"/>
      <c r="AE95" s="238"/>
      <c r="AF95" s="238"/>
      <c r="AG95" s="238"/>
      <c r="AH95" s="57">
        <f t="shared" si="58"/>
        <v>406</v>
      </c>
      <c r="AI95" s="41">
        <f t="shared" si="54"/>
        <v>0.15416666666666667</v>
      </c>
      <c r="AJ95" s="41">
        <f t="shared" si="55"/>
        <v>0.15454545454545454</v>
      </c>
      <c r="AK95" s="41">
        <f t="shared" si="51"/>
        <v>0.98837209302325579</v>
      </c>
      <c r="AL95" s="41">
        <f t="shared" si="52"/>
        <v>2.3548713883016208E-2</v>
      </c>
      <c r="AM95" s="239" t="s">
        <v>109</v>
      </c>
    </row>
    <row r="96" spans="1:39" s="7" customFormat="1" ht="12.75" customHeight="1" thickBot="1" x14ac:dyDescent="0.25">
      <c r="A96" s="399">
        <f t="shared" ref="A96" si="71">A93+1</f>
        <v>46053</v>
      </c>
      <c r="B96" s="402">
        <f t="shared" ref="B96" si="72">A96</f>
        <v>46053</v>
      </c>
      <c r="C96" s="50" t="s">
        <v>23</v>
      </c>
      <c r="D96" s="68" t="s">
        <v>65</v>
      </c>
      <c r="E96" s="284">
        <v>1500</v>
      </c>
      <c r="F96" s="284">
        <v>1500</v>
      </c>
      <c r="G96" s="224">
        <v>0</v>
      </c>
      <c r="H96" s="225">
        <v>480</v>
      </c>
      <c r="I96" s="51">
        <f t="shared" si="50"/>
        <v>30</v>
      </c>
      <c r="J96" s="52">
        <f t="shared" si="53"/>
        <v>480</v>
      </c>
      <c r="K96" s="226"/>
      <c r="L96" s="226"/>
      <c r="M96" s="226">
        <v>0</v>
      </c>
      <c r="N96" s="226"/>
      <c r="O96" s="226"/>
      <c r="P96" s="226"/>
      <c r="Q96" s="226"/>
      <c r="R96" s="226"/>
      <c r="S96" s="226"/>
      <c r="T96" s="226"/>
      <c r="U96" s="226"/>
      <c r="V96" s="226"/>
      <c r="W96" s="226"/>
      <c r="X96" s="226"/>
      <c r="Y96" s="226"/>
      <c r="Z96" s="226">
        <v>0</v>
      </c>
      <c r="AA96" s="226"/>
      <c r="AB96" s="226"/>
      <c r="AC96" s="226"/>
      <c r="AD96" s="226"/>
      <c r="AE96" s="226"/>
      <c r="AF96" s="226"/>
      <c r="AG96" s="226"/>
      <c r="AH96" s="53">
        <f t="shared" si="58"/>
        <v>0</v>
      </c>
      <c r="AI96" s="39">
        <f t="shared" si="54"/>
        <v>1</v>
      </c>
      <c r="AJ96" s="39">
        <f t="shared" si="55"/>
        <v>1</v>
      </c>
      <c r="AK96" s="39">
        <f t="shared" si="51"/>
        <v>1</v>
      </c>
      <c r="AL96" s="39">
        <f t="shared" si="52"/>
        <v>1</v>
      </c>
      <c r="AM96" s="239"/>
    </row>
    <row r="97" spans="1:39" s="7" customFormat="1" ht="12.75" customHeight="1" thickBot="1" x14ac:dyDescent="0.25">
      <c r="A97" s="400"/>
      <c r="B97" s="403"/>
      <c r="C97" s="46" t="s">
        <v>23</v>
      </c>
      <c r="D97" s="71" t="s">
        <v>67</v>
      </c>
      <c r="E97" s="285">
        <v>2200</v>
      </c>
      <c r="F97" s="285">
        <v>950</v>
      </c>
      <c r="G97" s="230">
        <v>4</v>
      </c>
      <c r="H97" s="225">
        <v>480</v>
      </c>
      <c r="I97" s="47">
        <f t="shared" si="50"/>
        <v>30</v>
      </c>
      <c r="J97" s="48">
        <f t="shared" si="53"/>
        <v>207</v>
      </c>
      <c r="K97" s="232"/>
      <c r="L97" s="232"/>
      <c r="M97" s="232">
        <v>243</v>
      </c>
      <c r="N97" s="232"/>
      <c r="O97" s="232"/>
      <c r="P97" s="232"/>
      <c r="Q97" s="232"/>
      <c r="R97" s="232"/>
      <c r="S97" s="232"/>
      <c r="T97" s="232"/>
      <c r="U97" s="232"/>
      <c r="V97" s="232"/>
      <c r="W97" s="232"/>
      <c r="X97" s="232"/>
      <c r="Y97" s="232"/>
      <c r="Z97" s="232">
        <v>30</v>
      </c>
      <c r="AA97" s="232"/>
      <c r="AB97" s="232"/>
      <c r="AC97" s="232"/>
      <c r="AD97" s="232"/>
      <c r="AE97" s="232"/>
      <c r="AF97" s="232"/>
      <c r="AG97" s="232"/>
      <c r="AH97" s="49">
        <f t="shared" si="58"/>
        <v>273</v>
      </c>
      <c r="AI97" s="6">
        <f t="shared" si="54"/>
        <v>0.43125000000000002</v>
      </c>
      <c r="AJ97" s="6">
        <f t="shared" si="55"/>
        <v>0.43181818181818182</v>
      </c>
      <c r="AK97" s="6">
        <f t="shared" si="51"/>
        <v>0.99580712788259962</v>
      </c>
      <c r="AL97" s="6">
        <f t="shared" si="52"/>
        <v>0.18544078759291024</v>
      </c>
      <c r="AM97" s="239" t="s">
        <v>109</v>
      </c>
    </row>
    <row r="98" spans="1:39" s="7" customFormat="1" ht="12.75" customHeight="1" thickBot="1" x14ac:dyDescent="0.25">
      <c r="A98" s="401"/>
      <c r="B98" s="404"/>
      <c r="C98" s="54" t="s">
        <v>23</v>
      </c>
      <c r="D98" s="72" t="s">
        <v>66</v>
      </c>
      <c r="E98" s="286">
        <v>2200</v>
      </c>
      <c r="F98" s="286">
        <v>1940</v>
      </c>
      <c r="G98" s="236">
        <v>2</v>
      </c>
      <c r="H98" s="225">
        <v>480</v>
      </c>
      <c r="I98" s="279">
        <f t="shared" si="50"/>
        <v>30</v>
      </c>
      <c r="J98" s="56">
        <f t="shared" si="53"/>
        <v>423</v>
      </c>
      <c r="K98" s="238"/>
      <c r="L98" s="238"/>
      <c r="M98" s="238">
        <v>27</v>
      </c>
      <c r="N98" s="238"/>
      <c r="O98" s="238"/>
      <c r="P98" s="238"/>
      <c r="Q98" s="238"/>
      <c r="R98" s="238"/>
      <c r="S98" s="238"/>
      <c r="T98" s="238"/>
      <c r="U98" s="238"/>
      <c r="V98" s="238"/>
      <c r="W98" s="238"/>
      <c r="X98" s="238"/>
      <c r="Y98" s="238"/>
      <c r="Z98" s="238">
        <v>30</v>
      </c>
      <c r="AA98" s="238"/>
      <c r="AB98" s="238"/>
      <c r="AC98" s="238"/>
      <c r="AD98" s="238"/>
      <c r="AE98" s="238"/>
      <c r="AF98" s="238"/>
      <c r="AG98" s="238"/>
      <c r="AH98" s="57">
        <f t="shared" si="58"/>
        <v>57</v>
      </c>
      <c r="AI98" s="41">
        <f t="shared" si="54"/>
        <v>0.88124999999999998</v>
      </c>
      <c r="AJ98" s="41">
        <f t="shared" si="55"/>
        <v>0.88181818181818183</v>
      </c>
      <c r="AK98" s="41">
        <f t="shared" si="51"/>
        <v>0.99897013388259526</v>
      </c>
      <c r="AL98" s="41">
        <f t="shared" si="52"/>
        <v>0.77630196142683272</v>
      </c>
      <c r="AM98" s="239"/>
    </row>
    <row r="99" spans="1:39" s="12" customFormat="1" ht="14.25" x14ac:dyDescent="0.25">
      <c r="A99" s="313" t="s">
        <v>34</v>
      </c>
      <c r="B99" s="314"/>
      <c r="C99" s="314"/>
      <c r="D99" s="315"/>
      <c r="E99" s="23">
        <f>SUM(E6:E98)</f>
        <v>214850</v>
      </c>
      <c r="F99" s="23">
        <f t="shared" ref="F99:AH99" si="73">SUM(F6:F98)</f>
        <v>119580</v>
      </c>
      <c r="G99" s="23">
        <f t="shared" si="73"/>
        <v>391</v>
      </c>
      <c r="H99" s="23">
        <f t="shared" si="73"/>
        <v>53100</v>
      </c>
      <c r="I99" s="23">
        <f t="shared" si="73"/>
        <v>2610</v>
      </c>
      <c r="J99" s="23">
        <f t="shared" si="73"/>
        <v>30099</v>
      </c>
      <c r="K99" s="23">
        <f t="shared" si="73"/>
        <v>0</v>
      </c>
      <c r="L99" s="23">
        <f t="shared" si="73"/>
        <v>0</v>
      </c>
      <c r="M99" s="23">
        <f t="shared" si="73"/>
        <v>20461</v>
      </c>
      <c r="N99" s="23">
        <f t="shared" si="73"/>
        <v>0</v>
      </c>
      <c r="O99" s="23">
        <f t="shared" si="73"/>
        <v>0</v>
      </c>
      <c r="P99" s="23">
        <f t="shared" si="73"/>
        <v>0</v>
      </c>
      <c r="Q99" s="23">
        <f t="shared" si="73"/>
        <v>0</v>
      </c>
      <c r="R99" s="23">
        <f t="shared" si="73"/>
        <v>0</v>
      </c>
      <c r="S99" s="23">
        <f t="shared" si="73"/>
        <v>0</v>
      </c>
      <c r="T99" s="23">
        <f t="shared" si="73"/>
        <v>0</v>
      </c>
      <c r="U99" s="23">
        <f t="shared" si="73"/>
        <v>0</v>
      </c>
      <c r="V99" s="23">
        <f t="shared" si="73"/>
        <v>0</v>
      </c>
      <c r="W99" s="23">
        <f t="shared" si="73"/>
        <v>0</v>
      </c>
      <c r="X99" s="23">
        <f t="shared" si="73"/>
        <v>0</v>
      </c>
      <c r="Y99" s="23">
        <f t="shared" si="73"/>
        <v>0</v>
      </c>
      <c r="Z99" s="23">
        <f t="shared" si="73"/>
        <v>2540</v>
      </c>
      <c r="AA99" s="23">
        <f t="shared" si="73"/>
        <v>0</v>
      </c>
      <c r="AB99" s="23">
        <f t="shared" si="73"/>
        <v>0</v>
      </c>
      <c r="AC99" s="23">
        <f t="shared" si="73"/>
        <v>0</v>
      </c>
      <c r="AD99" s="23">
        <f t="shared" si="73"/>
        <v>0</v>
      </c>
      <c r="AE99" s="23">
        <f t="shared" si="73"/>
        <v>0</v>
      </c>
      <c r="AF99" s="23">
        <f t="shared" si="73"/>
        <v>0</v>
      </c>
      <c r="AG99" s="23">
        <f t="shared" si="73"/>
        <v>0</v>
      </c>
      <c r="AH99" s="23">
        <f t="shared" si="73"/>
        <v>23001</v>
      </c>
      <c r="AI99" s="24">
        <f>IFERROR(J99/H99,0)</f>
        <v>0.56683615819209043</v>
      </c>
      <c r="AJ99" s="24">
        <f>IFERROR(F99/E99,0)</f>
        <v>0.55657435420060508</v>
      </c>
      <c r="AK99" s="24">
        <f>IFERROR(F99/(F99+G99),0)</f>
        <v>0.99674087904576936</v>
      </c>
      <c r="AL99" s="24">
        <f>IFERROR(AK99*AJ99*AI99,0)</f>
        <v>0.31445826012245276</v>
      </c>
      <c r="AM99" s="287"/>
    </row>
    <row r="103" spans="1:39" x14ac:dyDescent="0.25">
      <c r="AI103" s="15"/>
      <c r="AJ103" s="15"/>
      <c r="AK103" s="15"/>
    </row>
  </sheetData>
  <mergeCells count="65">
    <mergeCell ref="B96:B98"/>
    <mergeCell ref="B81:B83"/>
    <mergeCell ref="B84:B86"/>
    <mergeCell ref="B87:B89"/>
    <mergeCell ref="B90:B92"/>
    <mergeCell ref="B93:B95"/>
    <mergeCell ref="B66:B68"/>
    <mergeCell ref="B69:B71"/>
    <mergeCell ref="B72:B74"/>
    <mergeCell ref="B75:B77"/>
    <mergeCell ref="B78:B80"/>
    <mergeCell ref="B51:B53"/>
    <mergeCell ref="B54:B56"/>
    <mergeCell ref="B57:B59"/>
    <mergeCell ref="B60:B62"/>
    <mergeCell ref="B63:B65"/>
    <mergeCell ref="B36:B38"/>
    <mergeCell ref="B39:B41"/>
    <mergeCell ref="B42:B44"/>
    <mergeCell ref="B45:B47"/>
    <mergeCell ref="B48:B50"/>
    <mergeCell ref="B21:B23"/>
    <mergeCell ref="B24:B26"/>
    <mergeCell ref="B27:B29"/>
    <mergeCell ref="B30:B32"/>
    <mergeCell ref="B33:B35"/>
    <mergeCell ref="B6:B8"/>
    <mergeCell ref="B9:B11"/>
    <mergeCell ref="B12:B14"/>
    <mergeCell ref="B15:B17"/>
    <mergeCell ref="B18:B20"/>
    <mergeCell ref="A90:A92"/>
    <mergeCell ref="A93:A95"/>
    <mergeCell ref="A96:A98"/>
    <mergeCell ref="A75:A77"/>
    <mergeCell ref="A78:A80"/>
    <mergeCell ref="A81:A83"/>
    <mergeCell ref="A84:A86"/>
    <mergeCell ref="A87:A89"/>
    <mergeCell ref="A60:A62"/>
    <mergeCell ref="A63:A65"/>
    <mergeCell ref="A66:A68"/>
    <mergeCell ref="A69:A71"/>
    <mergeCell ref="A72:A74"/>
    <mergeCell ref="A45:A47"/>
    <mergeCell ref="A48:A50"/>
    <mergeCell ref="A51:A53"/>
    <mergeCell ref="A54:A56"/>
    <mergeCell ref="A57:A59"/>
    <mergeCell ref="A1:AM1"/>
    <mergeCell ref="A2:AM2"/>
    <mergeCell ref="A99:D99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</mergeCells>
  <conditionalFormatting sqref="A6:E6 G6:AM6 F6:F98 A7:A98 C7:E98 H7:AM98 B9 B12 G12 B15 G15 B18 G18 B21 G21 B24 G24 B27 G27 B30 G30:G33 B33 B36 G36 B39 G39 B42 G42 B45 G45 B48 G48 B51 G51:G54 B54 B57 G57 B60 G60 B63 G63 B66 G66 B69 G69 B72 G72:G75 B75 B78 G78 B81 G81 B84 G84 B87 G87:G98 B90 B93 B96">
    <cfRule type="expression" dxfId="17" priority="7">
      <formula>TEXT($A4,"ddd")="Fri"</formula>
    </cfRule>
    <cfRule type="expression" dxfId="16" priority="8">
      <formula>TEXT($A5,"ddd")="Fri"</formula>
    </cfRule>
  </conditionalFormatting>
  <conditionalFormatting sqref="A99:AM99">
    <cfRule type="expression" dxfId="15" priority="1">
      <formula>TEXT($A97,"ddd")="Fri"</formula>
    </cfRule>
    <cfRule type="expression" dxfId="14" priority="2">
      <formula>TEXT($A98,"ddd")="Fri"</formula>
    </cfRule>
    <cfRule type="expression" dxfId="13" priority="3">
      <formula>TEXT($A99,"ddd")="Fri"</formula>
    </cfRule>
  </conditionalFormatting>
  <conditionalFormatting sqref="G6:AM6 H7:AM98 A6:E6 F6:F98 A7:A98 C7:E98 B9 B12 G12 B15 G15 B18 G18 B21 G21 B24 G24 B27 G27 B30 G30:G33 B33 B36 G36 B39 G39 B42 G42 B45 G45 B48 G48 B51 G51:G54 B54 B57 G57 B60 G60 B63 G63 B66 G66 B69 G69 B72 G72:G75 B75 B78 G78 B81 G81 B84 G84 B87 G87:G98 B90 B93 B96">
    <cfRule type="expression" dxfId="12" priority="10">
      <formula>TEXT($A6,"ddd")="Fri"</formula>
    </cfRule>
  </conditionalFormatting>
  <conditionalFormatting sqref="K6:AG98">
    <cfRule type="cellIs" dxfId="11" priority="9" operator="greaterThan">
      <formula>0</formula>
    </cfRule>
  </conditionalFormatting>
  <dataValidations count="1">
    <dataValidation type="list" allowBlank="1" showInputMessage="1" showErrorMessage="1" sqref="AM3" xr:uid="{AB055FB3-1575-4BA2-8D46-8C4D478AF2F1}">
      <formula1>$AN$3:$AY$3</formula1>
    </dataValidation>
  </dataValidations>
  <pageMargins left="0.1" right="0.25" top="0.53" bottom="0.03" header="0" footer="0"/>
  <pageSetup paperSize="9" scale="5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A5A24-0759-4130-A121-7A140C459F99}">
  <sheetPr>
    <tabColor theme="6" tint="-0.499984740745262"/>
  </sheetPr>
  <dimension ref="A1:AM134"/>
  <sheetViews>
    <sheetView showGridLines="0" zoomScale="90" zoomScaleNormal="90" workbookViewId="0">
      <pane xSplit="3" ySplit="5" topLeftCell="D6" activePane="bottomRight" state="frozen"/>
      <selection pane="topRight" activeCell="D1" sqref="D1"/>
      <selection pane="bottomLeft" activeCell="A5" sqref="A5"/>
      <selection pane="bottomRight" activeCell="AK9" sqref="AK9"/>
    </sheetView>
  </sheetViews>
  <sheetFormatPr defaultColWidth="9.140625" defaultRowHeight="12.75" outlineLevelCol="1" x14ac:dyDescent="0.25"/>
  <cols>
    <col min="1" max="1" width="9.140625" style="1" bestFit="1" customWidth="1"/>
    <col min="2" max="2" width="4.85546875" style="1" bestFit="1" customWidth="1"/>
    <col min="3" max="3" width="7.85546875" style="13" bestFit="1" customWidth="1"/>
    <col min="4" max="4" width="33" style="1" bestFit="1" customWidth="1"/>
    <col min="5" max="6" width="7" style="1" bestFit="1" customWidth="1"/>
    <col min="7" max="7" width="4" style="1" bestFit="1" customWidth="1"/>
    <col min="8" max="8" width="6" style="1" bestFit="1" customWidth="1"/>
    <col min="9" max="9" width="5" style="1" bestFit="1" customWidth="1"/>
    <col min="10" max="10" width="5.85546875" style="1" customWidth="1"/>
    <col min="11" max="11" width="4" style="1" bestFit="1" customWidth="1" outlineLevel="1"/>
    <col min="12" max="12" width="3.28515625" style="1" customWidth="1" outlineLevel="1"/>
    <col min="13" max="13" width="6" style="1" bestFit="1" customWidth="1" outlineLevel="1"/>
    <col min="14" max="19" width="3.28515625" style="1" customWidth="1" outlineLevel="1"/>
    <col min="20" max="20" width="5" style="1" customWidth="1" outlineLevel="1"/>
    <col min="21" max="33" width="3.28515625" style="1" customWidth="1" outlineLevel="1"/>
    <col min="34" max="34" width="6" style="14" bestFit="1" customWidth="1"/>
    <col min="35" max="37" width="6.140625" style="1" bestFit="1" customWidth="1"/>
    <col min="38" max="38" width="6.140625" style="16" bestFit="1" customWidth="1"/>
    <col min="39" max="39" width="32.140625" style="28" customWidth="1"/>
    <col min="40" max="16384" width="9.140625" style="1"/>
  </cols>
  <sheetData>
    <row r="1" spans="1:39" ht="25.5" x14ac:dyDescent="0.25">
      <c r="A1" s="316" t="s">
        <v>0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  <c r="AF1" s="317"/>
      <c r="AG1" s="317"/>
      <c r="AH1" s="317"/>
      <c r="AI1" s="317"/>
      <c r="AJ1" s="317"/>
      <c r="AK1" s="317"/>
      <c r="AL1" s="317"/>
      <c r="AM1" s="317"/>
    </row>
    <row r="2" spans="1:39" x14ac:dyDescent="0.25">
      <c r="A2" s="318" t="s">
        <v>1</v>
      </c>
      <c r="B2" s="319"/>
      <c r="C2" s="319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  <c r="AA2" s="319"/>
      <c r="AB2" s="319"/>
      <c r="AC2" s="319"/>
      <c r="AD2" s="319"/>
      <c r="AE2" s="319"/>
      <c r="AF2" s="319"/>
      <c r="AG2" s="319"/>
      <c r="AH2" s="319"/>
      <c r="AI2" s="319"/>
      <c r="AJ2" s="319"/>
      <c r="AK2" s="319"/>
      <c r="AL2" s="319"/>
      <c r="AM2" s="319"/>
    </row>
    <row r="3" spans="1:39" x14ac:dyDescent="0.25">
      <c r="A3" s="320" t="str">
        <f>"Fan Auto Powder Coating ("&amp;TEXT('Fan Lathe'!AM3,"mmmm yyyy")&amp;")"</f>
        <v>Fan Auto Powder Coating (January 2026)</v>
      </c>
      <c r="B3" s="321"/>
      <c r="C3" s="321"/>
      <c r="D3" s="321"/>
      <c r="E3" s="321"/>
      <c r="F3" s="321"/>
      <c r="G3" s="321"/>
      <c r="H3" s="321"/>
      <c r="I3" s="321"/>
      <c r="J3" s="321"/>
      <c r="K3" s="321"/>
      <c r="L3" s="321"/>
      <c r="M3" s="321"/>
      <c r="N3" s="321"/>
      <c r="O3" s="321"/>
      <c r="P3" s="321"/>
      <c r="Q3" s="321"/>
      <c r="R3" s="321"/>
      <c r="S3" s="321"/>
      <c r="T3" s="321"/>
      <c r="U3" s="321"/>
      <c r="V3" s="321"/>
      <c r="W3" s="321"/>
      <c r="X3" s="321"/>
      <c r="Y3" s="321"/>
      <c r="Z3" s="321"/>
      <c r="AA3" s="321"/>
      <c r="AB3" s="321"/>
      <c r="AC3" s="321"/>
      <c r="AD3" s="321"/>
      <c r="AE3" s="321"/>
      <c r="AF3" s="321"/>
      <c r="AG3" s="321"/>
      <c r="AH3" s="321"/>
      <c r="AI3" s="321"/>
      <c r="AJ3" s="321"/>
      <c r="AK3" s="321"/>
      <c r="AL3" s="322"/>
      <c r="AM3" s="216">
        <f>'Fan Lathe'!AM3</f>
        <v>46023</v>
      </c>
    </row>
    <row r="4" spans="1:39" ht="13.5" thickBo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>
        <v>10</v>
      </c>
      <c r="L4" s="4">
        <v>11</v>
      </c>
      <c r="M4" s="4">
        <v>12</v>
      </c>
      <c r="N4" s="4">
        <v>13</v>
      </c>
      <c r="O4" s="4">
        <v>14</v>
      </c>
      <c r="P4" s="4">
        <v>15</v>
      </c>
      <c r="Q4" s="4">
        <v>16</v>
      </c>
      <c r="R4" s="4">
        <v>17</v>
      </c>
      <c r="S4" s="4">
        <v>18</v>
      </c>
      <c r="T4" s="4">
        <v>19</v>
      </c>
      <c r="U4" s="4">
        <v>20</v>
      </c>
      <c r="V4" s="4">
        <v>21</v>
      </c>
      <c r="W4" s="4">
        <v>22</v>
      </c>
      <c r="X4" s="4">
        <v>23</v>
      </c>
      <c r="Y4" s="4">
        <v>24</v>
      </c>
      <c r="Z4" s="4">
        <v>25</v>
      </c>
      <c r="AA4" s="4">
        <v>26</v>
      </c>
      <c r="AB4" s="4">
        <v>27</v>
      </c>
      <c r="AC4" s="4">
        <v>28</v>
      </c>
      <c r="AD4" s="4">
        <v>29</v>
      </c>
      <c r="AE4" s="4">
        <v>30</v>
      </c>
      <c r="AF4" s="4">
        <v>31</v>
      </c>
      <c r="AG4" s="4">
        <v>32</v>
      </c>
      <c r="AH4" s="4"/>
      <c r="AI4" s="4"/>
      <c r="AJ4" s="4"/>
      <c r="AK4" s="4"/>
      <c r="AL4" s="4"/>
      <c r="AM4" s="4"/>
    </row>
    <row r="5" spans="1:39" s="5" customFormat="1" ht="110.25" customHeight="1" thickBot="1" x14ac:dyDescent="0.3">
      <c r="A5" s="73" t="s">
        <v>2</v>
      </c>
      <c r="B5" s="74" t="s">
        <v>3</v>
      </c>
      <c r="C5" s="74" t="s">
        <v>4</v>
      </c>
      <c r="D5" s="74" t="s">
        <v>5</v>
      </c>
      <c r="E5" s="74" t="s">
        <v>46</v>
      </c>
      <c r="F5" s="74" t="s">
        <v>41</v>
      </c>
      <c r="G5" s="74" t="s">
        <v>6</v>
      </c>
      <c r="H5" s="74" t="s">
        <v>26</v>
      </c>
      <c r="I5" s="74" t="s">
        <v>42</v>
      </c>
      <c r="J5" s="75" t="s">
        <v>43</v>
      </c>
      <c r="K5" s="76" t="s">
        <v>28</v>
      </c>
      <c r="L5" s="30" t="s">
        <v>29</v>
      </c>
      <c r="M5" s="30" t="s">
        <v>27</v>
      </c>
      <c r="N5" s="30" t="s">
        <v>8</v>
      </c>
      <c r="O5" s="30" t="s">
        <v>38</v>
      </c>
      <c r="P5" s="30" t="s">
        <v>9</v>
      </c>
      <c r="Q5" s="30" t="s">
        <v>10</v>
      </c>
      <c r="R5" s="30" t="s">
        <v>11</v>
      </c>
      <c r="S5" s="30" t="s">
        <v>12</v>
      </c>
      <c r="T5" s="30" t="s">
        <v>13</v>
      </c>
      <c r="U5" s="30" t="s">
        <v>14</v>
      </c>
      <c r="V5" s="30" t="s">
        <v>30</v>
      </c>
      <c r="W5" s="30" t="s">
        <v>44</v>
      </c>
      <c r="X5" s="30" t="s">
        <v>25</v>
      </c>
      <c r="Y5" s="30" t="s">
        <v>31</v>
      </c>
      <c r="Z5" s="30" t="s">
        <v>32</v>
      </c>
      <c r="AA5" s="30" t="s">
        <v>15</v>
      </c>
      <c r="AB5" s="30" t="s">
        <v>16</v>
      </c>
      <c r="AC5" s="30" t="s">
        <v>33</v>
      </c>
      <c r="AD5" s="30" t="s">
        <v>36</v>
      </c>
      <c r="AE5" s="30" t="s">
        <v>40</v>
      </c>
      <c r="AF5" s="30" t="s">
        <v>37</v>
      </c>
      <c r="AG5" s="30" t="s">
        <v>39</v>
      </c>
      <c r="AH5" s="77" t="s">
        <v>17</v>
      </c>
      <c r="AI5" s="74" t="s">
        <v>18</v>
      </c>
      <c r="AJ5" s="74" t="s">
        <v>19</v>
      </c>
      <c r="AK5" s="74" t="s">
        <v>20</v>
      </c>
      <c r="AL5" s="78" t="s">
        <v>21</v>
      </c>
      <c r="AM5" s="79" t="s">
        <v>22</v>
      </c>
    </row>
    <row r="6" spans="1:39" s="7" customFormat="1" ht="12.75" customHeight="1" x14ac:dyDescent="0.25">
      <c r="A6" s="310">
        <f>AM3</f>
        <v>46023</v>
      </c>
      <c r="B6" s="323">
        <f>A6</f>
        <v>46023</v>
      </c>
      <c r="C6" s="326" t="s">
        <v>23</v>
      </c>
      <c r="D6" s="68" t="s">
        <v>92</v>
      </c>
      <c r="E6" s="222">
        <v>2500</v>
      </c>
      <c r="F6" s="222">
        <v>0</v>
      </c>
      <c r="G6" s="224">
        <v>0</v>
      </c>
      <c r="H6" s="329">
        <v>660</v>
      </c>
      <c r="I6" s="329">
        <f>IF(E6&lt;&gt;"",30,0)</f>
        <v>30</v>
      </c>
      <c r="J6" s="331">
        <f>H6-AH6</f>
        <v>0</v>
      </c>
      <c r="K6" s="308"/>
      <c r="L6" s="308"/>
      <c r="M6" s="308">
        <v>660</v>
      </c>
      <c r="N6" s="308"/>
      <c r="O6" s="308"/>
      <c r="P6" s="308"/>
      <c r="Q6" s="308"/>
      <c r="R6" s="308"/>
      <c r="S6" s="308"/>
      <c r="T6" s="308"/>
      <c r="U6" s="308"/>
      <c r="V6" s="308"/>
      <c r="W6" s="308"/>
      <c r="X6" s="308"/>
      <c r="Y6" s="308"/>
      <c r="Z6" s="308"/>
      <c r="AA6" s="308"/>
      <c r="AB6" s="308"/>
      <c r="AC6" s="308"/>
      <c r="AD6" s="308"/>
      <c r="AE6" s="308"/>
      <c r="AF6" s="308"/>
      <c r="AG6" s="308"/>
      <c r="AH6" s="333">
        <f>SUM(K6:AG8)</f>
        <v>660</v>
      </c>
      <c r="AI6" s="306">
        <f>IFERROR(J6/H6,"0")</f>
        <v>0</v>
      </c>
      <c r="AJ6" s="39">
        <f>IFERROR(F6/E6,"0")</f>
        <v>0</v>
      </c>
      <c r="AK6" s="306" t="str">
        <f>IFERROR(F6/(F6+G6),"0")</f>
        <v>0</v>
      </c>
      <c r="AL6" s="306">
        <f>IFERROR(AK6*(AJ6+AJ7+AJ8)*AI6,"0")</f>
        <v>0</v>
      </c>
      <c r="AM6" s="335" t="s">
        <v>111</v>
      </c>
    </row>
    <row r="7" spans="1:39" s="7" customFormat="1" ht="12.75" customHeight="1" x14ac:dyDescent="0.25">
      <c r="A7" s="311"/>
      <c r="B7" s="324"/>
      <c r="C7" s="327"/>
      <c r="D7" s="71" t="s">
        <v>93</v>
      </c>
      <c r="E7" s="228">
        <v>2500</v>
      </c>
      <c r="F7" s="228">
        <v>0</v>
      </c>
      <c r="G7" s="230">
        <v>0</v>
      </c>
      <c r="H7" s="330"/>
      <c r="I7" s="330"/>
      <c r="J7" s="332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  <c r="Z7" s="309"/>
      <c r="AA7" s="309"/>
      <c r="AB7" s="309"/>
      <c r="AC7" s="309"/>
      <c r="AD7" s="309"/>
      <c r="AE7" s="309"/>
      <c r="AF7" s="309"/>
      <c r="AG7" s="309"/>
      <c r="AH7" s="334"/>
      <c r="AI7" s="307"/>
      <c r="AJ7" s="6">
        <f t="shared" ref="AJ7:AJ69" si="0">IFERROR(F7/E7,"0")</f>
        <v>0</v>
      </c>
      <c r="AK7" s="307"/>
      <c r="AL7" s="307"/>
      <c r="AM7" s="336"/>
    </row>
    <row r="8" spans="1:39" s="7" customFormat="1" ht="12.75" customHeight="1" x14ac:dyDescent="0.25">
      <c r="A8" s="311"/>
      <c r="B8" s="324"/>
      <c r="C8" s="327"/>
      <c r="D8" s="71" t="s">
        <v>94</v>
      </c>
      <c r="E8" s="228">
        <v>2500</v>
      </c>
      <c r="F8" s="228">
        <v>0</v>
      </c>
      <c r="G8" s="230">
        <v>0</v>
      </c>
      <c r="H8" s="330"/>
      <c r="I8" s="330"/>
      <c r="J8" s="332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  <c r="Z8" s="309"/>
      <c r="AA8" s="309"/>
      <c r="AB8" s="309"/>
      <c r="AC8" s="309"/>
      <c r="AD8" s="309"/>
      <c r="AE8" s="309"/>
      <c r="AF8" s="309"/>
      <c r="AG8" s="309"/>
      <c r="AH8" s="334"/>
      <c r="AI8" s="307"/>
      <c r="AJ8" s="6">
        <f t="shared" si="0"/>
        <v>0</v>
      </c>
      <c r="AK8" s="307"/>
      <c r="AL8" s="307"/>
      <c r="AM8" s="336"/>
    </row>
    <row r="9" spans="1:39" s="7" customFormat="1" ht="15" thickBot="1" x14ac:dyDescent="0.25">
      <c r="A9" s="312"/>
      <c r="B9" s="325"/>
      <c r="C9" s="328"/>
      <c r="D9" s="72" t="s">
        <v>52</v>
      </c>
      <c r="E9" s="234">
        <v>2775</v>
      </c>
      <c r="F9" s="234">
        <v>147</v>
      </c>
      <c r="G9" s="236">
        <v>0</v>
      </c>
      <c r="H9" s="237">
        <v>660</v>
      </c>
      <c r="I9" s="40">
        <f t="shared" ref="I9" si="1">IF(E9&lt;&gt;"",30,0)</f>
        <v>30</v>
      </c>
      <c r="J9" s="56">
        <f t="shared" ref="J9" si="2">H9-AH9</f>
        <v>35</v>
      </c>
      <c r="K9" s="238"/>
      <c r="L9" s="238"/>
      <c r="M9" s="238">
        <v>625</v>
      </c>
      <c r="N9" s="238"/>
      <c r="O9" s="238"/>
      <c r="P9" s="238"/>
      <c r="Q9" s="238"/>
      <c r="R9" s="238"/>
      <c r="S9" s="238"/>
      <c r="T9" s="238"/>
      <c r="U9" s="238"/>
      <c r="V9" s="238"/>
      <c r="W9" s="238"/>
      <c r="X9" s="238"/>
      <c r="Y9" s="238"/>
      <c r="Z9" s="238"/>
      <c r="AA9" s="238"/>
      <c r="AB9" s="238"/>
      <c r="AC9" s="238"/>
      <c r="AD9" s="238"/>
      <c r="AE9" s="238"/>
      <c r="AF9" s="238"/>
      <c r="AG9" s="238"/>
      <c r="AH9" s="57">
        <f t="shared" ref="AH9" si="3">SUM(K9:AG9)</f>
        <v>625</v>
      </c>
      <c r="AI9" s="41">
        <f t="shared" ref="AI9" si="4">IFERROR(J9/H9,"0")</f>
        <v>5.3030303030303032E-2</v>
      </c>
      <c r="AJ9" s="41">
        <f t="shared" si="0"/>
        <v>5.2972972972972973E-2</v>
      </c>
      <c r="AK9" s="41">
        <f>IFERROR(F9/(F9+G9),"0")</f>
        <v>1</v>
      </c>
      <c r="AL9" s="41">
        <f>IFERROR(AK9*AJ9*AI9,"0")</f>
        <v>2.8091728091728095E-3</v>
      </c>
      <c r="AM9" s="299" t="s">
        <v>111</v>
      </c>
    </row>
    <row r="10" spans="1:39" s="7" customFormat="1" ht="12.75" customHeight="1" x14ac:dyDescent="0.25">
      <c r="A10" s="310">
        <f>A6+1</f>
        <v>46024</v>
      </c>
      <c r="B10" s="323">
        <f>A10</f>
        <v>46024</v>
      </c>
      <c r="C10" s="326" t="s">
        <v>23</v>
      </c>
      <c r="D10" s="68" t="s">
        <v>92</v>
      </c>
      <c r="E10" s="222">
        <v>2500</v>
      </c>
      <c r="F10" s="222">
        <v>0</v>
      </c>
      <c r="G10" s="224"/>
      <c r="H10" s="329">
        <v>480</v>
      </c>
      <c r="I10" s="329">
        <f>IF(E10&lt;&gt;"",30,0)</f>
        <v>30</v>
      </c>
      <c r="J10" s="331">
        <f>H10-AH10</f>
        <v>0</v>
      </c>
      <c r="K10" s="308"/>
      <c r="L10" s="308"/>
      <c r="M10" s="308">
        <v>480</v>
      </c>
      <c r="N10" s="308"/>
      <c r="O10" s="308"/>
      <c r="P10" s="308"/>
      <c r="Q10" s="308"/>
      <c r="R10" s="308"/>
      <c r="S10" s="308"/>
      <c r="T10" s="308"/>
      <c r="U10" s="308"/>
      <c r="V10" s="308"/>
      <c r="W10" s="308"/>
      <c r="X10" s="308"/>
      <c r="Y10" s="308"/>
      <c r="Z10" s="308"/>
      <c r="AA10" s="308"/>
      <c r="AB10" s="308"/>
      <c r="AC10" s="308"/>
      <c r="AD10" s="308"/>
      <c r="AE10" s="308"/>
      <c r="AF10" s="308"/>
      <c r="AG10" s="308"/>
      <c r="AH10" s="333">
        <f>SUM(K10:AG12)</f>
        <v>480</v>
      </c>
      <c r="AI10" s="306">
        <f>IFERROR(J10/H10,"0")</f>
        <v>0</v>
      </c>
      <c r="AJ10" s="39">
        <f t="shared" si="0"/>
        <v>0</v>
      </c>
      <c r="AK10" s="306" t="str">
        <f>IFERROR(F10/(F10+G10),"0")</f>
        <v>0</v>
      </c>
      <c r="AL10" s="306">
        <f>IFERROR(AK10*(AJ10+AJ11+AJ12)*AI10,"0")</f>
        <v>0</v>
      </c>
      <c r="AM10" s="335" t="s">
        <v>111</v>
      </c>
    </row>
    <row r="11" spans="1:39" s="7" customFormat="1" ht="12.75" customHeight="1" x14ac:dyDescent="0.25">
      <c r="A11" s="311"/>
      <c r="B11" s="324"/>
      <c r="C11" s="327"/>
      <c r="D11" s="71" t="s">
        <v>93</v>
      </c>
      <c r="E11" s="228">
        <v>2500</v>
      </c>
      <c r="F11" s="228">
        <v>0</v>
      </c>
      <c r="G11" s="230"/>
      <c r="H11" s="330"/>
      <c r="I11" s="330"/>
      <c r="J11" s="332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  <c r="Z11" s="309"/>
      <c r="AA11" s="309"/>
      <c r="AB11" s="309"/>
      <c r="AC11" s="309"/>
      <c r="AD11" s="309"/>
      <c r="AE11" s="309"/>
      <c r="AF11" s="309"/>
      <c r="AG11" s="309"/>
      <c r="AH11" s="334"/>
      <c r="AI11" s="307"/>
      <c r="AJ11" s="6">
        <f t="shared" si="0"/>
        <v>0</v>
      </c>
      <c r="AK11" s="307"/>
      <c r="AL11" s="307"/>
      <c r="AM11" s="336"/>
    </row>
    <row r="12" spans="1:39" s="7" customFormat="1" ht="12.75" customHeight="1" x14ac:dyDescent="0.25">
      <c r="A12" s="311"/>
      <c r="B12" s="324"/>
      <c r="C12" s="327"/>
      <c r="D12" s="71" t="s">
        <v>94</v>
      </c>
      <c r="E12" s="228">
        <v>2500</v>
      </c>
      <c r="F12" s="228">
        <v>0</v>
      </c>
      <c r="G12" s="230"/>
      <c r="H12" s="330"/>
      <c r="I12" s="330"/>
      <c r="J12" s="332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  <c r="Z12" s="309"/>
      <c r="AA12" s="309"/>
      <c r="AB12" s="309"/>
      <c r="AC12" s="309"/>
      <c r="AD12" s="309"/>
      <c r="AE12" s="309"/>
      <c r="AF12" s="309"/>
      <c r="AG12" s="309"/>
      <c r="AH12" s="334"/>
      <c r="AI12" s="307"/>
      <c r="AJ12" s="6">
        <f t="shared" si="0"/>
        <v>0</v>
      </c>
      <c r="AK12" s="307"/>
      <c r="AL12" s="307"/>
      <c r="AM12" s="336"/>
    </row>
    <row r="13" spans="1:39" s="7" customFormat="1" ht="15" thickBot="1" x14ac:dyDescent="0.25">
      <c r="A13" s="312"/>
      <c r="B13" s="325"/>
      <c r="C13" s="328"/>
      <c r="D13" s="72" t="s">
        <v>52</v>
      </c>
      <c r="E13" s="234">
        <v>2000</v>
      </c>
      <c r="F13" s="234">
        <v>0</v>
      </c>
      <c r="G13" s="236"/>
      <c r="H13" s="237">
        <v>480</v>
      </c>
      <c r="I13" s="40">
        <f t="shared" ref="I13:I14" si="5">IF(E13&lt;&gt;"",30,0)</f>
        <v>30</v>
      </c>
      <c r="J13" s="56">
        <f t="shared" ref="J13:J14" si="6">H13-AH13</f>
        <v>0</v>
      </c>
      <c r="K13" s="238"/>
      <c r="L13" s="238"/>
      <c r="M13" s="238">
        <v>480</v>
      </c>
      <c r="N13" s="238"/>
      <c r="O13" s="238"/>
      <c r="P13" s="238"/>
      <c r="Q13" s="238"/>
      <c r="R13" s="238"/>
      <c r="S13" s="238"/>
      <c r="T13" s="238"/>
      <c r="U13" s="238"/>
      <c r="V13" s="238"/>
      <c r="W13" s="238"/>
      <c r="X13" s="238"/>
      <c r="Y13" s="238"/>
      <c r="Z13" s="238"/>
      <c r="AA13" s="238"/>
      <c r="AB13" s="238"/>
      <c r="AC13" s="238"/>
      <c r="AD13" s="238"/>
      <c r="AE13" s="238"/>
      <c r="AF13" s="238"/>
      <c r="AG13" s="238"/>
      <c r="AH13" s="57">
        <f t="shared" ref="AH13" si="7">SUM(K13:AG13)</f>
        <v>480</v>
      </c>
      <c r="AI13" s="41">
        <f t="shared" ref="AI13:AI14" si="8">IFERROR(J13/H13,"0")</f>
        <v>0</v>
      </c>
      <c r="AJ13" s="41">
        <f t="shared" si="0"/>
        <v>0</v>
      </c>
      <c r="AK13" s="41" t="str">
        <f>IFERROR(F13/(F13+G13),"0")</f>
        <v>0</v>
      </c>
      <c r="AL13" s="41">
        <f>IFERROR(AK13*AJ13*AI13,"0")</f>
        <v>0</v>
      </c>
      <c r="AM13" s="299" t="s">
        <v>111</v>
      </c>
    </row>
    <row r="14" spans="1:39" s="7" customFormat="1" ht="12.75" customHeight="1" x14ac:dyDescent="0.25">
      <c r="A14" s="310">
        <f t="shared" ref="A14" si="9">A10+1</f>
        <v>46025</v>
      </c>
      <c r="B14" s="323">
        <f t="shared" ref="B14" si="10">A14</f>
        <v>46025</v>
      </c>
      <c r="C14" s="326" t="s">
        <v>23</v>
      </c>
      <c r="D14" s="68" t="s">
        <v>92</v>
      </c>
      <c r="E14" s="222">
        <v>2500</v>
      </c>
      <c r="F14" s="222">
        <v>0</v>
      </c>
      <c r="G14" s="224">
        <v>0</v>
      </c>
      <c r="H14" s="329">
        <v>660</v>
      </c>
      <c r="I14" s="329">
        <f t="shared" si="5"/>
        <v>30</v>
      </c>
      <c r="J14" s="331">
        <f t="shared" si="6"/>
        <v>0</v>
      </c>
      <c r="K14" s="308"/>
      <c r="L14" s="308"/>
      <c r="M14" s="308">
        <v>660</v>
      </c>
      <c r="N14" s="308"/>
      <c r="O14" s="308"/>
      <c r="P14" s="308"/>
      <c r="Q14" s="308"/>
      <c r="R14" s="308"/>
      <c r="S14" s="308"/>
      <c r="T14" s="308"/>
      <c r="U14" s="308"/>
      <c r="V14" s="308"/>
      <c r="W14" s="308"/>
      <c r="X14" s="308"/>
      <c r="Y14" s="308"/>
      <c r="Z14" s="308"/>
      <c r="AA14" s="308"/>
      <c r="AB14" s="308"/>
      <c r="AC14" s="308"/>
      <c r="AD14" s="308"/>
      <c r="AE14" s="308"/>
      <c r="AF14" s="308"/>
      <c r="AG14" s="308"/>
      <c r="AH14" s="333">
        <f t="shared" ref="AH14" si="11">SUM(K14:AG16)</f>
        <v>660</v>
      </c>
      <c r="AI14" s="306">
        <f t="shared" si="8"/>
        <v>0</v>
      </c>
      <c r="AJ14" s="39">
        <f t="shared" si="0"/>
        <v>0</v>
      </c>
      <c r="AK14" s="306" t="str">
        <f t="shared" ref="AK14" si="12">IFERROR(F14/(F14+G14),"0")</f>
        <v>0</v>
      </c>
      <c r="AL14" s="306">
        <f t="shared" ref="AL14" si="13">IFERROR(AK14*(AJ14+AJ15+AJ16)*AI14,"0")</f>
        <v>0</v>
      </c>
      <c r="AM14" s="335"/>
    </row>
    <row r="15" spans="1:39" s="7" customFormat="1" ht="12.75" customHeight="1" x14ac:dyDescent="0.25">
      <c r="A15" s="311"/>
      <c r="B15" s="324"/>
      <c r="C15" s="327"/>
      <c r="D15" s="71" t="s">
        <v>93</v>
      </c>
      <c r="E15" s="228">
        <v>2500</v>
      </c>
      <c r="F15" s="228">
        <v>0</v>
      </c>
      <c r="G15" s="230">
        <v>0</v>
      </c>
      <c r="H15" s="330"/>
      <c r="I15" s="330"/>
      <c r="J15" s="332"/>
      <c r="K15" s="309"/>
      <c r="L15" s="309"/>
      <c r="M15" s="309"/>
      <c r="N15" s="309"/>
      <c r="O15" s="309"/>
      <c r="P15" s="309"/>
      <c r="Q15" s="309"/>
      <c r="R15" s="309"/>
      <c r="S15" s="309"/>
      <c r="T15" s="309"/>
      <c r="U15" s="309"/>
      <c r="V15" s="309"/>
      <c r="W15" s="309"/>
      <c r="X15" s="309"/>
      <c r="Y15" s="309"/>
      <c r="Z15" s="309"/>
      <c r="AA15" s="309"/>
      <c r="AB15" s="309"/>
      <c r="AC15" s="309"/>
      <c r="AD15" s="309"/>
      <c r="AE15" s="309"/>
      <c r="AF15" s="309"/>
      <c r="AG15" s="309"/>
      <c r="AH15" s="334"/>
      <c r="AI15" s="307"/>
      <c r="AJ15" s="6">
        <f t="shared" si="0"/>
        <v>0</v>
      </c>
      <c r="AK15" s="307"/>
      <c r="AL15" s="307"/>
      <c r="AM15" s="336"/>
    </row>
    <row r="16" spans="1:39" s="7" customFormat="1" ht="12.75" customHeight="1" x14ac:dyDescent="0.25">
      <c r="A16" s="311"/>
      <c r="B16" s="324"/>
      <c r="C16" s="327"/>
      <c r="D16" s="71" t="s">
        <v>94</v>
      </c>
      <c r="E16" s="228">
        <v>2500</v>
      </c>
      <c r="F16" s="228">
        <v>0</v>
      </c>
      <c r="G16" s="230">
        <v>0</v>
      </c>
      <c r="H16" s="330"/>
      <c r="I16" s="330"/>
      <c r="J16" s="332"/>
      <c r="K16" s="309"/>
      <c r="L16" s="309"/>
      <c r="M16" s="309"/>
      <c r="N16" s="309"/>
      <c r="O16" s="309"/>
      <c r="P16" s="309"/>
      <c r="Q16" s="309"/>
      <c r="R16" s="309"/>
      <c r="S16" s="309"/>
      <c r="T16" s="309"/>
      <c r="U16" s="309"/>
      <c r="V16" s="309"/>
      <c r="W16" s="309"/>
      <c r="X16" s="309"/>
      <c r="Y16" s="309"/>
      <c r="Z16" s="309"/>
      <c r="AA16" s="309"/>
      <c r="AB16" s="309"/>
      <c r="AC16" s="309"/>
      <c r="AD16" s="309"/>
      <c r="AE16" s="309"/>
      <c r="AF16" s="309"/>
      <c r="AG16" s="309"/>
      <c r="AH16" s="334"/>
      <c r="AI16" s="307"/>
      <c r="AJ16" s="6">
        <f t="shared" si="0"/>
        <v>0</v>
      </c>
      <c r="AK16" s="307"/>
      <c r="AL16" s="307"/>
      <c r="AM16" s="336"/>
    </row>
    <row r="17" spans="1:39" s="7" customFormat="1" ht="15" thickBot="1" x14ac:dyDescent="0.25">
      <c r="A17" s="312"/>
      <c r="B17" s="325"/>
      <c r="C17" s="328"/>
      <c r="D17" s="72" t="s">
        <v>52</v>
      </c>
      <c r="E17" s="234">
        <v>2775</v>
      </c>
      <c r="F17" s="234">
        <v>0</v>
      </c>
      <c r="G17" s="236">
        <v>0</v>
      </c>
      <c r="H17" s="237">
        <v>660</v>
      </c>
      <c r="I17" s="40">
        <f t="shared" ref="I17:I18" si="14">IF(E17&lt;&gt;"",30,0)</f>
        <v>30</v>
      </c>
      <c r="J17" s="56">
        <f t="shared" ref="J17:J18" si="15">H17-AH17</f>
        <v>0</v>
      </c>
      <c r="K17" s="238"/>
      <c r="L17" s="238"/>
      <c r="M17" s="238">
        <v>660</v>
      </c>
      <c r="N17" s="238"/>
      <c r="O17" s="238"/>
      <c r="P17" s="238"/>
      <c r="Q17" s="238"/>
      <c r="R17" s="238"/>
      <c r="S17" s="238"/>
      <c r="T17" s="238"/>
      <c r="U17" s="238"/>
      <c r="V17" s="238"/>
      <c r="W17" s="238"/>
      <c r="X17" s="238"/>
      <c r="Y17" s="238"/>
      <c r="Z17" s="238"/>
      <c r="AA17" s="238"/>
      <c r="AB17" s="238"/>
      <c r="AC17" s="238"/>
      <c r="AD17" s="238"/>
      <c r="AE17" s="238"/>
      <c r="AF17" s="238"/>
      <c r="AG17" s="238"/>
      <c r="AH17" s="57">
        <f t="shared" ref="AH17" si="16">SUM(K17:AG17)</f>
        <v>660</v>
      </c>
      <c r="AI17" s="41">
        <f t="shared" ref="AI17:AI18" si="17">IFERROR(J17/H17,"0")</f>
        <v>0</v>
      </c>
      <c r="AJ17" s="41">
        <f t="shared" si="0"/>
        <v>0</v>
      </c>
      <c r="AK17" s="41" t="str">
        <f t="shared" ref="AK17:AK18" si="18">IFERROR(F17/(F17+G17),"0")</f>
        <v>0</v>
      </c>
      <c r="AL17" s="41">
        <f t="shared" ref="AL17" si="19">IFERROR(AK17*AJ17*AI17,"0")</f>
        <v>0</v>
      </c>
      <c r="AM17" s="299" t="s">
        <v>111</v>
      </c>
    </row>
    <row r="18" spans="1:39" s="7" customFormat="1" ht="12.75" customHeight="1" x14ac:dyDescent="0.25">
      <c r="A18" s="310">
        <f t="shared" ref="A18" si="20">A14+1</f>
        <v>46026</v>
      </c>
      <c r="B18" s="323">
        <f t="shared" ref="B18" si="21">A18</f>
        <v>46026</v>
      </c>
      <c r="C18" s="326" t="s">
        <v>23</v>
      </c>
      <c r="D18" s="68" t="s">
        <v>92</v>
      </c>
      <c r="E18" s="222">
        <v>2500</v>
      </c>
      <c r="F18" s="222">
        <v>0</v>
      </c>
      <c r="G18" s="224">
        <v>0</v>
      </c>
      <c r="H18" s="329">
        <v>660</v>
      </c>
      <c r="I18" s="329">
        <f t="shared" si="14"/>
        <v>30</v>
      </c>
      <c r="J18" s="331">
        <f t="shared" si="15"/>
        <v>0</v>
      </c>
      <c r="K18" s="308"/>
      <c r="L18" s="308"/>
      <c r="M18" s="308">
        <v>660</v>
      </c>
      <c r="N18" s="308"/>
      <c r="O18" s="308"/>
      <c r="P18" s="308"/>
      <c r="Q18" s="308"/>
      <c r="R18" s="308"/>
      <c r="S18" s="308"/>
      <c r="T18" s="308"/>
      <c r="U18" s="308"/>
      <c r="V18" s="308"/>
      <c r="W18" s="308"/>
      <c r="X18" s="308"/>
      <c r="Y18" s="308"/>
      <c r="Z18" s="308"/>
      <c r="AA18" s="308"/>
      <c r="AB18" s="308"/>
      <c r="AC18" s="308"/>
      <c r="AD18" s="308"/>
      <c r="AE18" s="308"/>
      <c r="AF18" s="308"/>
      <c r="AG18" s="308"/>
      <c r="AH18" s="333">
        <f t="shared" ref="AH18" si="22">SUM(K18:AG20)</f>
        <v>660</v>
      </c>
      <c r="AI18" s="306">
        <f t="shared" si="17"/>
        <v>0</v>
      </c>
      <c r="AJ18" s="39">
        <f t="shared" si="0"/>
        <v>0</v>
      </c>
      <c r="AK18" s="306" t="str">
        <f t="shared" si="18"/>
        <v>0</v>
      </c>
      <c r="AL18" s="306">
        <f t="shared" ref="AL18" si="23">IFERROR(AK18*(AJ18+AJ19+AJ20)*AI18,"0")</f>
        <v>0</v>
      </c>
      <c r="AM18" s="335" t="s">
        <v>111</v>
      </c>
    </row>
    <row r="19" spans="1:39" s="7" customFormat="1" ht="12.75" customHeight="1" x14ac:dyDescent="0.25">
      <c r="A19" s="311"/>
      <c r="B19" s="324"/>
      <c r="C19" s="327"/>
      <c r="D19" s="71" t="s">
        <v>93</v>
      </c>
      <c r="E19" s="228">
        <v>2500</v>
      </c>
      <c r="F19" s="228">
        <v>0</v>
      </c>
      <c r="G19" s="230">
        <v>0</v>
      </c>
      <c r="H19" s="330"/>
      <c r="I19" s="330"/>
      <c r="J19" s="332"/>
      <c r="K19" s="309"/>
      <c r="L19" s="309"/>
      <c r="M19" s="309"/>
      <c r="N19" s="309"/>
      <c r="O19" s="309"/>
      <c r="P19" s="309"/>
      <c r="Q19" s="309"/>
      <c r="R19" s="309"/>
      <c r="S19" s="309"/>
      <c r="T19" s="309"/>
      <c r="U19" s="309"/>
      <c r="V19" s="309"/>
      <c r="W19" s="309"/>
      <c r="X19" s="309"/>
      <c r="Y19" s="309"/>
      <c r="Z19" s="309"/>
      <c r="AA19" s="309"/>
      <c r="AB19" s="309"/>
      <c r="AC19" s="309"/>
      <c r="AD19" s="309"/>
      <c r="AE19" s="309"/>
      <c r="AF19" s="309"/>
      <c r="AG19" s="309"/>
      <c r="AH19" s="334"/>
      <c r="AI19" s="307"/>
      <c r="AJ19" s="6">
        <f t="shared" si="0"/>
        <v>0</v>
      </c>
      <c r="AK19" s="307"/>
      <c r="AL19" s="307"/>
      <c r="AM19" s="336"/>
    </row>
    <row r="20" spans="1:39" s="7" customFormat="1" ht="12.75" customHeight="1" x14ac:dyDescent="0.25">
      <c r="A20" s="311"/>
      <c r="B20" s="324"/>
      <c r="C20" s="327"/>
      <c r="D20" s="71" t="s">
        <v>94</v>
      </c>
      <c r="E20" s="228">
        <v>2500</v>
      </c>
      <c r="F20" s="228">
        <v>0</v>
      </c>
      <c r="G20" s="230">
        <v>0</v>
      </c>
      <c r="H20" s="330"/>
      <c r="I20" s="330"/>
      <c r="J20" s="332"/>
      <c r="K20" s="309"/>
      <c r="L20" s="309"/>
      <c r="M20" s="309"/>
      <c r="N20" s="309"/>
      <c r="O20" s="309"/>
      <c r="P20" s="309"/>
      <c r="Q20" s="309"/>
      <c r="R20" s="309"/>
      <c r="S20" s="309"/>
      <c r="T20" s="309"/>
      <c r="U20" s="309"/>
      <c r="V20" s="309"/>
      <c r="W20" s="309"/>
      <c r="X20" s="309"/>
      <c r="Y20" s="309"/>
      <c r="Z20" s="309"/>
      <c r="AA20" s="309"/>
      <c r="AB20" s="309"/>
      <c r="AC20" s="309"/>
      <c r="AD20" s="309"/>
      <c r="AE20" s="309"/>
      <c r="AF20" s="309"/>
      <c r="AG20" s="309"/>
      <c r="AH20" s="334"/>
      <c r="AI20" s="307"/>
      <c r="AJ20" s="6">
        <f t="shared" si="0"/>
        <v>0</v>
      </c>
      <c r="AK20" s="307"/>
      <c r="AL20" s="307"/>
      <c r="AM20" s="336"/>
    </row>
    <row r="21" spans="1:39" s="7" customFormat="1" ht="15" thickBot="1" x14ac:dyDescent="0.25">
      <c r="A21" s="312"/>
      <c r="B21" s="325"/>
      <c r="C21" s="328"/>
      <c r="D21" s="72" t="s">
        <v>52</v>
      </c>
      <c r="E21" s="234">
        <v>2775</v>
      </c>
      <c r="F21" s="234">
        <v>1650</v>
      </c>
      <c r="G21" s="236">
        <v>0</v>
      </c>
      <c r="H21" s="237">
        <v>660</v>
      </c>
      <c r="I21" s="40">
        <f t="shared" ref="I21:I22" si="24">IF(E21&lt;&gt;"",30,0)</f>
        <v>30</v>
      </c>
      <c r="J21" s="56">
        <f t="shared" ref="J21:J22" si="25">H21-AH21</f>
        <v>392</v>
      </c>
      <c r="K21" s="238"/>
      <c r="L21" s="238"/>
      <c r="M21" s="238">
        <v>268</v>
      </c>
      <c r="N21" s="238"/>
      <c r="O21" s="238"/>
      <c r="P21" s="238"/>
      <c r="Q21" s="238"/>
      <c r="R21" s="238"/>
      <c r="S21" s="238"/>
      <c r="T21" s="238"/>
      <c r="U21" s="238"/>
      <c r="V21" s="238"/>
      <c r="W21" s="238"/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57">
        <f t="shared" ref="AH21" si="26">SUM(K21:AG21)</f>
        <v>268</v>
      </c>
      <c r="AI21" s="41">
        <f t="shared" ref="AI21:AI22" si="27">IFERROR(J21/H21,"0")</f>
        <v>0.59393939393939399</v>
      </c>
      <c r="AJ21" s="41">
        <f t="shared" si="0"/>
        <v>0.59459459459459463</v>
      </c>
      <c r="AK21" s="41">
        <f t="shared" ref="AK21:AK22" si="28">IFERROR(F21/(F21+G21),"0")</f>
        <v>1</v>
      </c>
      <c r="AL21" s="41">
        <f t="shared" ref="AL21" si="29">IFERROR(AK21*AJ21*AI21,"0")</f>
        <v>0.35315315315315321</v>
      </c>
      <c r="AM21" s="299" t="s">
        <v>111</v>
      </c>
    </row>
    <row r="22" spans="1:39" s="7" customFormat="1" ht="12.75" customHeight="1" x14ac:dyDescent="0.25">
      <c r="A22" s="310">
        <f t="shared" ref="A22" si="30">A18+1</f>
        <v>46027</v>
      </c>
      <c r="B22" s="323">
        <f t="shared" ref="B22" si="31">A22</f>
        <v>46027</v>
      </c>
      <c r="C22" s="326" t="s">
        <v>23</v>
      </c>
      <c r="D22" s="68" t="s">
        <v>92</v>
      </c>
      <c r="E22" s="222">
        <v>2000</v>
      </c>
      <c r="F22" s="222">
        <v>1955</v>
      </c>
      <c r="G22" s="224">
        <v>13</v>
      </c>
      <c r="H22" s="329">
        <v>660</v>
      </c>
      <c r="I22" s="329">
        <f t="shared" si="24"/>
        <v>30</v>
      </c>
      <c r="J22" s="331">
        <f t="shared" si="25"/>
        <v>645</v>
      </c>
      <c r="K22" s="308"/>
      <c r="L22" s="308"/>
      <c r="M22" s="308">
        <v>15</v>
      </c>
      <c r="N22" s="308"/>
      <c r="O22" s="308"/>
      <c r="P22" s="308"/>
      <c r="Q22" s="308"/>
      <c r="R22" s="308"/>
      <c r="S22" s="308"/>
      <c r="T22" s="308"/>
      <c r="U22" s="308"/>
      <c r="V22" s="308"/>
      <c r="W22" s="308"/>
      <c r="X22" s="308"/>
      <c r="Y22" s="308"/>
      <c r="Z22" s="308"/>
      <c r="AA22" s="308"/>
      <c r="AB22" s="308"/>
      <c r="AC22" s="308"/>
      <c r="AD22" s="308"/>
      <c r="AE22" s="308"/>
      <c r="AF22" s="308"/>
      <c r="AG22" s="308"/>
      <c r="AH22" s="333">
        <f t="shared" ref="AH22" si="32">SUM(K22:AG24)</f>
        <v>15</v>
      </c>
      <c r="AI22" s="306">
        <f t="shared" si="27"/>
        <v>0.97727272727272729</v>
      </c>
      <c r="AJ22" s="39">
        <f t="shared" si="0"/>
        <v>0.97750000000000004</v>
      </c>
      <c r="AK22" s="306">
        <f t="shared" si="28"/>
        <v>0.99339430894308944</v>
      </c>
      <c r="AL22" s="306">
        <f t="shared" ref="AL22" si="33">IFERROR(AK22*(AJ22+AJ23+AJ24)*AI22,"0")</f>
        <v>2.8460634065502588</v>
      </c>
      <c r="AM22" s="335"/>
    </row>
    <row r="23" spans="1:39" s="7" customFormat="1" ht="12.75" customHeight="1" x14ac:dyDescent="0.25">
      <c r="A23" s="311"/>
      <c r="B23" s="324"/>
      <c r="C23" s="327"/>
      <c r="D23" s="71" t="s">
        <v>93</v>
      </c>
      <c r="E23" s="228">
        <v>5000</v>
      </c>
      <c r="F23" s="228">
        <v>4895</v>
      </c>
      <c r="G23" s="230"/>
      <c r="H23" s="330"/>
      <c r="I23" s="330"/>
      <c r="J23" s="332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09"/>
      <c r="W23" s="309"/>
      <c r="X23" s="309"/>
      <c r="Y23" s="309"/>
      <c r="Z23" s="309"/>
      <c r="AA23" s="309"/>
      <c r="AB23" s="309"/>
      <c r="AC23" s="309"/>
      <c r="AD23" s="309"/>
      <c r="AE23" s="309"/>
      <c r="AF23" s="309"/>
      <c r="AG23" s="309"/>
      <c r="AH23" s="334"/>
      <c r="AI23" s="307"/>
      <c r="AJ23" s="6">
        <f t="shared" si="0"/>
        <v>0.97899999999999998</v>
      </c>
      <c r="AK23" s="307"/>
      <c r="AL23" s="307"/>
      <c r="AM23" s="336"/>
    </row>
    <row r="24" spans="1:39" s="7" customFormat="1" ht="12.75" customHeight="1" x14ac:dyDescent="0.25">
      <c r="A24" s="311"/>
      <c r="B24" s="324"/>
      <c r="C24" s="327"/>
      <c r="D24" s="71" t="s">
        <v>94</v>
      </c>
      <c r="E24" s="228">
        <v>4300</v>
      </c>
      <c r="F24" s="228">
        <v>4193</v>
      </c>
      <c r="G24" s="230">
        <v>5</v>
      </c>
      <c r="H24" s="330"/>
      <c r="I24" s="330"/>
      <c r="J24" s="332"/>
      <c r="K24" s="309"/>
      <c r="L24" s="309"/>
      <c r="M24" s="309"/>
      <c r="N24" s="309"/>
      <c r="O24" s="309"/>
      <c r="P24" s="309"/>
      <c r="Q24" s="309"/>
      <c r="R24" s="309"/>
      <c r="S24" s="309"/>
      <c r="T24" s="309"/>
      <c r="U24" s="309"/>
      <c r="V24" s="309"/>
      <c r="W24" s="309"/>
      <c r="X24" s="309"/>
      <c r="Y24" s="309"/>
      <c r="Z24" s="309"/>
      <c r="AA24" s="309"/>
      <c r="AB24" s="309"/>
      <c r="AC24" s="309"/>
      <c r="AD24" s="309"/>
      <c r="AE24" s="309"/>
      <c r="AF24" s="309"/>
      <c r="AG24" s="309"/>
      <c r="AH24" s="334"/>
      <c r="AI24" s="307"/>
      <c r="AJ24" s="6">
        <f t="shared" si="0"/>
        <v>0.97511627906976739</v>
      </c>
      <c r="AK24" s="307"/>
      <c r="AL24" s="307"/>
      <c r="AM24" s="336"/>
    </row>
    <row r="25" spans="1:39" s="7" customFormat="1" ht="15" thickBot="1" x14ac:dyDescent="0.25">
      <c r="A25" s="312"/>
      <c r="B25" s="325"/>
      <c r="C25" s="328"/>
      <c r="D25" s="72" t="s">
        <v>52</v>
      </c>
      <c r="E25" s="234">
        <v>2775</v>
      </c>
      <c r="F25" s="234">
        <v>1400</v>
      </c>
      <c r="G25" s="236"/>
      <c r="H25" s="237">
        <v>660</v>
      </c>
      <c r="I25" s="40">
        <f t="shared" ref="I25:I26" si="34">IF(E25&lt;&gt;"",30,0)</f>
        <v>30</v>
      </c>
      <c r="J25" s="56">
        <f t="shared" ref="J25:J26" si="35">H25-AH25</f>
        <v>333</v>
      </c>
      <c r="K25" s="238"/>
      <c r="L25" s="238"/>
      <c r="M25" s="238">
        <v>327</v>
      </c>
      <c r="N25" s="238"/>
      <c r="O25" s="238"/>
      <c r="P25" s="238"/>
      <c r="Q25" s="238"/>
      <c r="R25" s="238"/>
      <c r="S25" s="238"/>
      <c r="T25" s="238"/>
      <c r="U25" s="238"/>
      <c r="V25" s="238"/>
      <c r="W25" s="238"/>
      <c r="X25" s="238"/>
      <c r="Y25" s="238"/>
      <c r="Z25" s="238"/>
      <c r="AA25" s="238"/>
      <c r="AB25" s="238"/>
      <c r="AC25" s="238"/>
      <c r="AD25" s="238"/>
      <c r="AE25" s="238"/>
      <c r="AF25" s="238"/>
      <c r="AG25" s="238"/>
      <c r="AH25" s="57">
        <f t="shared" ref="AH25" si="36">SUM(K25:AG25)</f>
        <v>327</v>
      </c>
      <c r="AI25" s="41">
        <f t="shared" ref="AI25:AI26" si="37">IFERROR(J25/H25,"0")</f>
        <v>0.50454545454545452</v>
      </c>
      <c r="AJ25" s="41">
        <f t="shared" si="0"/>
        <v>0.50450450450450446</v>
      </c>
      <c r="AK25" s="41">
        <f t="shared" ref="AK25:AK26" si="38">IFERROR(F25/(F25+G25),"0")</f>
        <v>1</v>
      </c>
      <c r="AL25" s="41">
        <f t="shared" ref="AL25" si="39">IFERROR(AK25*AJ25*AI25,"0")</f>
        <v>0.25454545454545452</v>
      </c>
      <c r="AM25" s="299" t="s">
        <v>111</v>
      </c>
    </row>
    <row r="26" spans="1:39" s="7" customFormat="1" ht="12.75" customHeight="1" x14ac:dyDescent="0.25">
      <c r="A26" s="310">
        <f t="shared" ref="A26" si="40">A22+1</f>
        <v>46028</v>
      </c>
      <c r="B26" s="323">
        <f t="shared" ref="B26" si="41">A26</f>
        <v>46028</v>
      </c>
      <c r="C26" s="326" t="s">
        <v>23</v>
      </c>
      <c r="D26" s="68" t="s">
        <v>92</v>
      </c>
      <c r="E26" s="222">
        <v>2000</v>
      </c>
      <c r="F26" s="222">
        <v>1637</v>
      </c>
      <c r="G26" s="224">
        <v>13</v>
      </c>
      <c r="H26" s="329">
        <v>660</v>
      </c>
      <c r="I26" s="329">
        <f t="shared" si="34"/>
        <v>30</v>
      </c>
      <c r="J26" s="331">
        <f t="shared" si="35"/>
        <v>596</v>
      </c>
      <c r="K26" s="308"/>
      <c r="L26" s="308"/>
      <c r="M26" s="308">
        <v>64</v>
      </c>
      <c r="N26" s="308"/>
      <c r="O26" s="308"/>
      <c r="P26" s="308"/>
      <c r="Q26" s="308"/>
      <c r="R26" s="308"/>
      <c r="S26" s="308"/>
      <c r="T26" s="308"/>
      <c r="U26" s="308"/>
      <c r="V26" s="308"/>
      <c r="W26" s="308"/>
      <c r="X26" s="308"/>
      <c r="Y26" s="308"/>
      <c r="Z26" s="308"/>
      <c r="AA26" s="308"/>
      <c r="AB26" s="308"/>
      <c r="AC26" s="308"/>
      <c r="AD26" s="308"/>
      <c r="AE26" s="308"/>
      <c r="AF26" s="308"/>
      <c r="AG26" s="308"/>
      <c r="AH26" s="333">
        <f t="shared" ref="AH26" si="42">SUM(K26:AG28)</f>
        <v>64</v>
      </c>
      <c r="AI26" s="306">
        <f t="shared" si="37"/>
        <v>0.90303030303030307</v>
      </c>
      <c r="AJ26" s="39">
        <f t="shared" si="0"/>
        <v>0.81850000000000001</v>
      </c>
      <c r="AK26" s="306">
        <f t="shared" si="38"/>
        <v>0.99212121212121207</v>
      </c>
      <c r="AL26" s="306">
        <f t="shared" ref="AL26" si="43">IFERROR(AK26*(AJ26+AJ27+AJ28)*AI26,"0")</f>
        <v>2.4246460324456689</v>
      </c>
      <c r="AM26" s="335"/>
    </row>
    <row r="27" spans="1:39" s="7" customFormat="1" ht="12.75" customHeight="1" x14ac:dyDescent="0.25">
      <c r="A27" s="311"/>
      <c r="B27" s="324"/>
      <c r="C27" s="327"/>
      <c r="D27" s="71" t="s">
        <v>93</v>
      </c>
      <c r="E27" s="228">
        <v>1200</v>
      </c>
      <c r="F27" s="228">
        <v>1100</v>
      </c>
      <c r="G27" s="230">
        <v>0</v>
      </c>
      <c r="H27" s="330"/>
      <c r="I27" s="330"/>
      <c r="J27" s="332"/>
      <c r="K27" s="309"/>
      <c r="L27" s="309"/>
      <c r="M27" s="309"/>
      <c r="N27" s="309"/>
      <c r="O27" s="309"/>
      <c r="P27" s="309"/>
      <c r="Q27" s="309"/>
      <c r="R27" s="309"/>
      <c r="S27" s="309"/>
      <c r="T27" s="309"/>
      <c r="U27" s="309"/>
      <c r="V27" s="309"/>
      <c r="W27" s="309"/>
      <c r="X27" s="309"/>
      <c r="Y27" s="309"/>
      <c r="Z27" s="309"/>
      <c r="AA27" s="309"/>
      <c r="AB27" s="309"/>
      <c r="AC27" s="309"/>
      <c r="AD27" s="309"/>
      <c r="AE27" s="309"/>
      <c r="AF27" s="309"/>
      <c r="AG27" s="309"/>
      <c r="AH27" s="334"/>
      <c r="AI27" s="307"/>
      <c r="AJ27" s="6">
        <f t="shared" si="0"/>
        <v>0.91666666666666663</v>
      </c>
      <c r="AK27" s="307"/>
      <c r="AL27" s="307"/>
      <c r="AM27" s="336"/>
    </row>
    <row r="28" spans="1:39" s="7" customFormat="1" ht="12.75" customHeight="1" x14ac:dyDescent="0.25">
      <c r="A28" s="311"/>
      <c r="B28" s="324"/>
      <c r="C28" s="327"/>
      <c r="D28" s="71" t="s">
        <v>94</v>
      </c>
      <c r="E28" s="228">
        <v>6000</v>
      </c>
      <c r="F28" s="228">
        <v>5827</v>
      </c>
      <c r="G28" s="230">
        <v>8</v>
      </c>
      <c r="H28" s="330"/>
      <c r="I28" s="330"/>
      <c r="J28" s="332"/>
      <c r="K28" s="309"/>
      <c r="L28" s="309"/>
      <c r="M28" s="309"/>
      <c r="N28" s="309"/>
      <c r="O28" s="309"/>
      <c r="P28" s="309"/>
      <c r="Q28" s="309"/>
      <c r="R28" s="309"/>
      <c r="S28" s="309"/>
      <c r="T28" s="309"/>
      <c r="U28" s="309"/>
      <c r="V28" s="309"/>
      <c r="W28" s="309"/>
      <c r="X28" s="309"/>
      <c r="Y28" s="309"/>
      <c r="Z28" s="309"/>
      <c r="AA28" s="309"/>
      <c r="AB28" s="309"/>
      <c r="AC28" s="309"/>
      <c r="AD28" s="309"/>
      <c r="AE28" s="309"/>
      <c r="AF28" s="309"/>
      <c r="AG28" s="309"/>
      <c r="AH28" s="334"/>
      <c r="AI28" s="307"/>
      <c r="AJ28" s="6">
        <f t="shared" si="0"/>
        <v>0.97116666666666662</v>
      </c>
      <c r="AK28" s="307"/>
      <c r="AL28" s="307"/>
      <c r="AM28" s="336"/>
    </row>
    <row r="29" spans="1:39" s="7" customFormat="1" ht="15" thickBot="1" x14ac:dyDescent="0.25">
      <c r="A29" s="312"/>
      <c r="B29" s="325"/>
      <c r="C29" s="328"/>
      <c r="D29" s="72" t="s">
        <v>52</v>
      </c>
      <c r="E29" s="234">
        <v>2775</v>
      </c>
      <c r="F29" s="234">
        <v>1683</v>
      </c>
      <c r="G29" s="236">
        <v>0</v>
      </c>
      <c r="H29" s="237">
        <v>660</v>
      </c>
      <c r="I29" s="40">
        <f t="shared" ref="I29:I30" si="44">IF(E29&lt;&gt;"",30,0)</f>
        <v>30</v>
      </c>
      <c r="J29" s="56">
        <f t="shared" ref="J29:J30" si="45">H29-AH29</f>
        <v>400</v>
      </c>
      <c r="K29" s="238"/>
      <c r="L29" s="238"/>
      <c r="M29" s="238">
        <v>260</v>
      </c>
      <c r="N29" s="238"/>
      <c r="O29" s="238"/>
      <c r="P29" s="238"/>
      <c r="Q29" s="238"/>
      <c r="R29" s="238"/>
      <c r="S29" s="238"/>
      <c r="T29" s="238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57">
        <f t="shared" ref="AH29" si="46">SUM(K29:AG29)</f>
        <v>260</v>
      </c>
      <c r="AI29" s="41">
        <f t="shared" ref="AI29:AI30" si="47">IFERROR(J29/H29,"0")</f>
        <v>0.60606060606060608</v>
      </c>
      <c r="AJ29" s="41">
        <f t="shared" si="0"/>
        <v>0.60648648648648651</v>
      </c>
      <c r="AK29" s="41">
        <f t="shared" ref="AK29:AK30" si="48">IFERROR(F29/(F29+G29),"0")</f>
        <v>1</v>
      </c>
      <c r="AL29" s="41">
        <f t="shared" ref="AL29" si="49">IFERROR(AK29*AJ29*AI29,"0")</f>
        <v>0.36756756756756759</v>
      </c>
      <c r="AM29" s="299" t="s">
        <v>111</v>
      </c>
    </row>
    <row r="30" spans="1:39" s="7" customFormat="1" ht="12.75" customHeight="1" x14ac:dyDescent="0.25">
      <c r="A30" s="310">
        <f t="shared" ref="A30" si="50">A26+1</f>
        <v>46029</v>
      </c>
      <c r="B30" s="323">
        <f t="shared" ref="B30" si="51">A30</f>
        <v>46029</v>
      </c>
      <c r="C30" s="326" t="s">
        <v>23</v>
      </c>
      <c r="D30" s="68" t="s">
        <v>92</v>
      </c>
      <c r="E30" s="222">
        <v>2100</v>
      </c>
      <c r="F30" s="222">
        <v>2056</v>
      </c>
      <c r="G30" s="224">
        <v>24</v>
      </c>
      <c r="H30" s="329">
        <v>480</v>
      </c>
      <c r="I30" s="329">
        <f t="shared" si="44"/>
        <v>30</v>
      </c>
      <c r="J30" s="331">
        <f t="shared" si="45"/>
        <v>444</v>
      </c>
      <c r="K30" s="308"/>
      <c r="L30" s="308"/>
      <c r="M30" s="308">
        <v>36</v>
      </c>
      <c r="N30" s="308"/>
      <c r="O30" s="308"/>
      <c r="P30" s="308"/>
      <c r="Q30" s="308"/>
      <c r="R30" s="308"/>
      <c r="S30" s="308"/>
      <c r="T30" s="308"/>
      <c r="U30" s="308"/>
      <c r="V30" s="308"/>
      <c r="W30" s="308"/>
      <c r="X30" s="308"/>
      <c r="Y30" s="308"/>
      <c r="Z30" s="308"/>
      <c r="AA30" s="308"/>
      <c r="AB30" s="308"/>
      <c r="AC30" s="308"/>
      <c r="AD30" s="308"/>
      <c r="AE30" s="308"/>
      <c r="AF30" s="308"/>
      <c r="AG30" s="308"/>
      <c r="AH30" s="333">
        <f t="shared" ref="AH30" si="52">SUM(K30:AG32)</f>
        <v>36</v>
      </c>
      <c r="AI30" s="306">
        <f t="shared" si="47"/>
        <v>0.92500000000000004</v>
      </c>
      <c r="AJ30" s="39">
        <f t="shared" si="0"/>
        <v>0.97904761904761906</v>
      </c>
      <c r="AK30" s="306">
        <f t="shared" si="48"/>
        <v>0.9884615384615385</v>
      </c>
      <c r="AL30" s="306">
        <f t="shared" ref="AL30" si="53">IFERROR(AK30*(AJ30+AJ31+AJ32)*AI30,"0")</f>
        <v>2.5383456959706958</v>
      </c>
      <c r="AM30" s="335"/>
    </row>
    <row r="31" spans="1:39" s="7" customFormat="1" ht="12.75" customHeight="1" x14ac:dyDescent="0.25">
      <c r="A31" s="311"/>
      <c r="B31" s="324"/>
      <c r="C31" s="327"/>
      <c r="D31" s="71" t="s">
        <v>93</v>
      </c>
      <c r="E31" s="228">
        <v>50</v>
      </c>
      <c r="F31" s="228">
        <v>50</v>
      </c>
      <c r="G31" s="230">
        <v>0</v>
      </c>
      <c r="H31" s="330"/>
      <c r="I31" s="330"/>
      <c r="J31" s="332"/>
      <c r="K31" s="309"/>
      <c r="L31" s="309"/>
      <c r="M31" s="309"/>
      <c r="N31" s="309"/>
      <c r="O31" s="309"/>
      <c r="P31" s="309"/>
      <c r="Q31" s="309"/>
      <c r="R31" s="309"/>
      <c r="S31" s="309"/>
      <c r="T31" s="309"/>
      <c r="U31" s="309"/>
      <c r="V31" s="309"/>
      <c r="W31" s="309"/>
      <c r="X31" s="309"/>
      <c r="Y31" s="309"/>
      <c r="Z31" s="309"/>
      <c r="AA31" s="309"/>
      <c r="AB31" s="309"/>
      <c r="AC31" s="309"/>
      <c r="AD31" s="309"/>
      <c r="AE31" s="309"/>
      <c r="AF31" s="309"/>
      <c r="AG31" s="309"/>
      <c r="AH31" s="334"/>
      <c r="AI31" s="307"/>
      <c r="AJ31" s="6">
        <f t="shared" si="0"/>
        <v>1</v>
      </c>
      <c r="AK31" s="307"/>
      <c r="AL31" s="307"/>
      <c r="AM31" s="336"/>
    </row>
    <row r="32" spans="1:39" s="7" customFormat="1" ht="12.75" customHeight="1" x14ac:dyDescent="0.25">
      <c r="A32" s="311"/>
      <c r="B32" s="324"/>
      <c r="C32" s="327"/>
      <c r="D32" s="71" t="s">
        <v>94</v>
      </c>
      <c r="E32" s="228">
        <v>700</v>
      </c>
      <c r="F32" s="228">
        <v>558</v>
      </c>
      <c r="G32" s="230">
        <v>6</v>
      </c>
      <c r="H32" s="330"/>
      <c r="I32" s="330"/>
      <c r="J32" s="332"/>
      <c r="K32" s="309"/>
      <c r="L32" s="309"/>
      <c r="M32" s="309"/>
      <c r="N32" s="309"/>
      <c r="O32" s="309"/>
      <c r="P32" s="309"/>
      <c r="Q32" s="309"/>
      <c r="R32" s="309"/>
      <c r="S32" s="309"/>
      <c r="T32" s="309"/>
      <c r="U32" s="309"/>
      <c r="V32" s="309"/>
      <c r="W32" s="309"/>
      <c r="X32" s="309"/>
      <c r="Y32" s="309"/>
      <c r="Z32" s="309"/>
      <c r="AA32" s="309"/>
      <c r="AB32" s="309"/>
      <c r="AC32" s="309"/>
      <c r="AD32" s="309"/>
      <c r="AE32" s="309"/>
      <c r="AF32" s="309"/>
      <c r="AG32" s="309"/>
      <c r="AH32" s="334"/>
      <c r="AI32" s="307"/>
      <c r="AJ32" s="6">
        <f t="shared" si="0"/>
        <v>0.79714285714285715</v>
      </c>
      <c r="AK32" s="307"/>
      <c r="AL32" s="307"/>
      <c r="AM32" s="336"/>
    </row>
    <row r="33" spans="1:39" s="7" customFormat="1" ht="15" thickBot="1" x14ac:dyDescent="0.25">
      <c r="A33" s="312"/>
      <c r="B33" s="325"/>
      <c r="C33" s="328"/>
      <c r="D33" s="72" t="s">
        <v>52</v>
      </c>
      <c r="E33" s="234">
        <v>2775</v>
      </c>
      <c r="F33" s="234">
        <v>1733</v>
      </c>
      <c r="G33" s="236">
        <v>0</v>
      </c>
      <c r="H33" s="237">
        <v>660</v>
      </c>
      <c r="I33" s="40">
        <f t="shared" ref="I33:I34" si="54">IF(E33&lt;&gt;"",30,0)</f>
        <v>30</v>
      </c>
      <c r="J33" s="56">
        <f t="shared" ref="J33:J34" si="55">H33-AH33</f>
        <v>412</v>
      </c>
      <c r="K33" s="238"/>
      <c r="L33" s="238"/>
      <c r="M33" s="238">
        <v>248</v>
      </c>
      <c r="N33" s="238"/>
      <c r="O33" s="238"/>
      <c r="P33" s="238"/>
      <c r="Q33" s="238"/>
      <c r="R33" s="238"/>
      <c r="S33" s="238"/>
      <c r="T33" s="238"/>
      <c r="U33" s="238"/>
      <c r="V33" s="238"/>
      <c r="W33" s="238"/>
      <c r="X33" s="238"/>
      <c r="Y33" s="238"/>
      <c r="Z33" s="238"/>
      <c r="AA33" s="238"/>
      <c r="AB33" s="238"/>
      <c r="AC33" s="238"/>
      <c r="AD33" s="238"/>
      <c r="AE33" s="238"/>
      <c r="AF33" s="238"/>
      <c r="AG33" s="238"/>
      <c r="AH33" s="57">
        <f t="shared" ref="AH33" si="56">SUM(K33:AG33)</f>
        <v>248</v>
      </c>
      <c r="AI33" s="41">
        <f t="shared" ref="AI33:AI34" si="57">IFERROR(J33/H33,"0")</f>
        <v>0.62424242424242427</v>
      </c>
      <c r="AJ33" s="41">
        <f t="shared" si="0"/>
        <v>0.62450450450450445</v>
      </c>
      <c r="AK33" s="41">
        <f t="shared" ref="AK33:AK34" si="58">IFERROR(F33/(F33+G33),"0")</f>
        <v>1</v>
      </c>
      <c r="AL33" s="41">
        <f t="shared" ref="AL33" si="59">IFERROR(AK33*AJ33*AI33,"0")</f>
        <v>0.3898422058422058</v>
      </c>
      <c r="AM33" s="299" t="s">
        <v>111</v>
      </c>
    </row>
    <row r="34" spans="1:39" s="7" customFormat="1" ht="12.75" customHeight="1" x14ac:dyDescent="0.25">
      <c r="A34" s="310">
        <f t="shared" ref="A34" si="60">A30+1</f>
        <v>46030</v>
      </c>
      <c r="B34" s="323">
        <f t="shared" ref="B34" si="61">A34</f>
        <v>46030</v>
      </c>
      <c r="C34" s="326" t="s">
        <v>23</v>
      </c>
      <c r="D34" s="68" t="s">
        <v>92</v>
      </c>
      <c r="E34" s="222">
        <v>2500</v>
      </c>
      <c r="F34" s="222">
        <v>2481</v>
      </c>
      <c r="G34" s="224">
        <v>30</v>
      </c>
      <c r="H34" s="329">
        <v>660</v>
      </c>
      <c r="I34" s="329">
        <f t="shared" si="54"/>
        <v>30</v>
      </c>
      <c r="J34" s="331">
        <f t="shared" si="55"/>
        <v>624</v>
      </c>
      <c r="K34" s="308"/>
      <c r="L34" s="308"/>
      <c r="M34" s="308">
        <v>36</v>
      </c>
      <c r="N34" s="308"/>
      <c r="O34" s="308"/>
      <c r="P34" s="308"/>
      <c r="Q34" s="308"/>
      <c r="R34" s="308"/>
      <c r="S34" s="308"/>
      <c r="T34" s="308"/>
      <c r="U34" s="308"/>
      <c r="V34" s="308"/>
      <c r="W34" s="308"/>
      <c r="X34" s="308"/>
      <c r="Y34" s="308"/>
      <c r="Z34" s="308"/>
      <c r="AA34" s="308"/>
      <c r="AB34" s="308"/>
      <c r="AC34" s="308"/>
      <c r="AD34" s="308"/>
      <c r="AE34" s="308"/>
      <c r="AF34" s="308"/>
      <c r="AG34" s="308"/>
      <c r="AH34" s="333">
        <f t="shared" ref="AH34" si="62">SUM(K34:AG36)</f>
        <v>36</v>
      </c>
      <c r="AI34" s="306">
        <f t="shared" si="57"/>
        <v>0.94545454545454544</v>
      </c>
      <c r="AJ34" s="39">
        <f t="shared" si="0"/>
        <v>0.99239999999999995</v>
      </c>
      <c r="AK34" s="306">
        <f t="shared" si="58"/>
        <v>0.98805256869772995</v>
      </c>
      <c r="AL34" s="306">
        <f t="shared" ref="AL34" si="63">IFERROR(AK34*(AJ34+AJ35+AJ36)*AI34,"0")</f>
        <v>2.6459113630932984</v>
      </c>
      <c r="AM34" s="335"/>
    </row>
    <row r="35" spans="1:39" s="7" customFormat="1" ht="12.75" customHeight="1" x14ac:dyDescent="0.25">
      <c r="A35" s="311"/>
      <c r="B35" s="324"/>
      <c r="C35" s="327"/>
      <c r="D35" s="71" t="s">
        <v>93</v>
      </c>
      <c r="E35" s="228">
        <v>2800</v>
      </c>
      <c r="F35" s="228">
        <v>2650</v>
      </c>
      <c r="G35" s="230">
        <v>0</v>
      </c>
      <c r="H35" s="330"/>
      <c r="I35" s="330"/>
      <c r="J35" s="332"/>
      <c r="K35" s="309"/>
      <c r="L35" s="309"/>
      <c r="M35" s="309"/>
      <c r="N35" s="309"/>
      <c r="O35" s="309"/>
      <c r="P35" s="309"/>
      <c r="Q35" s="309"/>
      <c r="R35" s="309"/>
      <c r="S35" s="309"/>
      <c r="T35" s="309"/>
      <c r="U35" s="309"/>
      <c r="V35" s="309"/>
      <c r="W35" s="309"/>
      <c r="X35" s="309"/>
      <c r="Y35" s="309"/>
      <c r="Z35" s="309"/>
      <c r="AA35" s="309"/>
      <c r="AB35" s="309"/>
      <c r="AC35" s="309"/>
      <c r="AD35" s="309"/>
      <c r="AE35" s="309"/>
      <c r="AF35" s="309"/>
      <c r="AG35" s="309"/>
      <c r="AH35" s="334"/>
      <c r="AI35" s="307"/>
      <c r="AJ35" s="6">
        <f t="shared" si="0"/>
        <v>0.9464285714285714</v>
      </c>
      <c r="AK35" s="307"/>
      <c r="AL35" s="307"/>
      <c r="AM35" s="336"/>
    </row>
    <row r="36" spans="1:39" s="7" customFormat="1" ht="12.75" customHeight="1" x14ac:dyDescent="0.25">
      <c r="A36" s="311"/>
      <c r="B36" s="324"/>
      <c r="C36" s="327"/>
      <c r="D36" s="71" t="s">
        <v>94</v>
      </c>
      <c r="E36" s="228">
        <v>1400</v>
      </c>
      <c r="F36" s="228">
        <v>1251</v>
      </c>
      <c r="G36" s="230">
        <v>0</v>
      </c>
      <c r="H36" s="330"/>
      <c r="I36" s="330"/>
      <c r="J36" s="332"/>
      <c r="K36" s="309"/>
      <c r="L36" s="309"/>
      <c r="M36" s="309"/>
      <c r="N36" s="309"/>
      <c r="O36" s="309"/>
      <c r="P36" s="309"/>
      <c r="Q36" s="309"/>
      <c r="R36" s="309"/>
      <c r="S36" s="309"/>
      <c r="T36" s="309"/>
      <c r="U36" s="309"/>
      <c r="V36" s="309"/>
      <c r="W36" s="309"/>
      <c r="X36" s="309"/>
      <c r="Y36" s="309"/>
      <c r="Z36" s="309"/>
      <c r="AA36" s="309"/>
      <c r="AB36" s="309"/>
      <c r="AC36" s="309"/>
      <c r="AD36" s="309"/>
      <c r="AE36" s="309"/>
      <c r="AF36" s="309"/>
      <c r="AG36" s="309"/>
      <c r="AH36" s="334"/>
      <c r="AI36" s="307"/>
      <c r="AJ36" s="6">
        <f t="shared" si="0"/>
        <v>0.89357142857142857</v>
      </c>
      <c r="AK36" s="307"/>
      <c r="AL36" s="307"/>
      <c r="AM36" s="336"/>
    </row>
    <row r="37" spans="1:39" s="7" customFormat="1" ht="15" thickBot="1" x14ac:dyDescent="0.25">
      <c r="A37" s="312"/>
      <c r="B37" s="325"/>
      <c r="C37" s="328"/>
      <c r="D37" s="72" t="s">
        <v>52</v>
      </c>
      <c r="E37" s="234">
        <v>2775</v>
      </c>
      <c r="F37" s="234">
        <v>2100</v>
      </c>
      <c r="G37" s="236">
        <v>0</v>
      </c>
      <c r="H37" s="237">
        <v>660</v>
      </c>
      <c r="I37" s="40">
        <f t="shared" ref="I37:I38" si="64">IF(E37&lt;&gt;"",30,0)</f>
        <v>30</v>
      </c>
      <c r="J37" s="56">
        <f t="shared" ref="J37:J38" si="65">H37-AH37</f>
        <v>499</v>
      </c>
      <c r="K37" s="238"/>
      <c r="L37" s="238"/>
      <c r="M37" s="238">
        <v>161</v>
      </c>
      <c r="N37" s="238"/>
      <c r="O37" s="238"/>
      <c r="P37" s="238"/>
      <c r="Q37" s="238"/>
      <c r="R37" s="238"/>
      <c r="S37" s="238"/>
      <c r="T37" s="238"/>
      <c r="U37" s="238"/>
      <c r="V37" s="238"/>
      <c r="W37" s="238"/>
      <c r="X37" s="238"/>
      <c r="Y37" s="238"/>
      <c r="Z37" s="238"/>
      <c r="AA37" s="238"/>
      <c r="AB37" s="238"/>
      <c r="AC37" s="238"/>
      <c r="AD37" s="238"/>
      <c r="AE37" s="238"/>
      <c r="AF37" s="238"/>
      <c r="AG37" s="238"/>
      <c r="AH37" s="57">
        <f t="shared" ref="AH37" si="66">SUM(K37:AG37)</f>
        <v>161</v>
      </c>
      <c r="AI37" s="41">
        <f t="shared" ref="AI37:AI38" si="67">IFERROR(J37/H37,"0")</f>
        <v>0.7560606060606061</v>
      </c>
      <c r="AJ37" s="41">
        <f t="shared" si="0"/>
        <v>0.7567567567567568</v>
      </c>
      <c r="AK37" s="41">
        <f t="shared" ref="AK37:AK38" si="68">IFERROR(F37/(F37+G37),"0")</f>
        <v>1</v>
      </c>
      <c r="AL37" s="41">
        <f t="shared" ref="AL37" si="69">IFERROR(AK37*AJ37*AI37,"0")</f>
        <v>0.57215397215397223</v>
      </c>
      <c r="AM37" s="299" t="s">
        <v>111</v>
      </c>
    </row>
    <row r="38" spans="1:39" s="7" customFormat="1" ht="12.75" customHeight="1" x14ac:dyDescent="0.25">
      <c r="A38" s="310">
        <f t="shared" ref="A38" si="70">A34+1</f>
        <v>46031</v>
      </c>
      <c r="B38" s="323">
        <f t="shared" ref="B38" si="71">A38</f>
        <v>46031</v>
      </c>
      <c r="C38" s="326" t="s">
        <v>23</v>
      </c>
      <c r="D38" s="68" t="s">
        <v>92</v>
      </c>
      <c r="E38" s="222"/>
      <c r="F38" s="222"/>
      <c r="G38" s="224"/>
      <c r="H38" s="329"/>
      <c r="I38" s="329">
        <f t="shared" si="64"/>
        <v>0</v>
      </c>
      <c r="J38" s="331">
        <f t="shared" si="65"/>
        <v>0</v>
      </c>
      <c r="K38" s="308"/>
      <c r="L38" s="308"/>
      <c r="M38" s="308"/>
      <c r="N38" s="308"/>
      <c r="O38" s="308"/>
      <c r="P38" s="308"/>
      <c r="Q38" s="308"/>
      <c r="R38" s="308"/>
      <c r="S38" s="308"/>
      <c r="T38" s="308"/>
      <c r="U38" s="308"/>
      <c r="V38" s="308"/>
      <c r="W38" s="308"/>
      <c r="X38" s="308"/>
      <c r="Y38" s="308"/>
      <c r="Z38" s="308"/>
      <c r="AA38" s="308"/>
      <c r="AB38" s="308"/>
      <c r="AC38" s="308"/>
      <c r="AD38" s="308"/>
      <c r="AE38" s="308"/>
      <c r="AF38" s="308"/>
      <c r="AG38" s="308"/>
      <c r="AH38" s="333">
        <f t="shared" ref="AH38" si="72">SUM(K38:AG40)</f>
        <v>0</v>
      </c>
      <c r="AI38" s="306" t="str">
        <f t="shared" si="67"/>
        <v>0</v>
      </c>
      <c r="AJ38" s="39" t="str">
        <f t="shared" si="0"/>
        <v>0</v>
      </c>
      <c r="AK38" s="306" t="str">
        <f t="shared" si="68"/>
        <v>0</v>
      </c>
      <c r="AL38" s="306">
        <f t="shared" ref="AL38" si="73">IFERROR(AK38*(AJ38+AJ39+AJ40)*AI38,"0")</f>
        <v>0</v>
      </c>
      <c r="AM38" s="335"/>
    </row>
    <row r="39" spans="1:39" s="7" customFormat="1" ht="12.75" customHeight="1" x14ac:dyDescent="0.25">
      <c r="A39" s="311"/>
      <c r="B39" s="324"/>
      <c r="C39" s="327"/>
      <c r="D39" s="71" t="s">
        <v>93</v>
      </c>
      <c r="E39" s="228"/>
      <c r="F39" s="228"/>
      <c r="G39" s="230"/>
      <c r="H39" s="330"/>
      <c r="I39" s="330"/>
      <c r="J39" s="332"/>
      <c r="K39" s="309"/>
      <c r="L39" s="309"/>
      <c r="M39" s="309"/>
      <c r="N39" s="309"/>
      <c r="O39" s="309"/>
      <c r="P39" s="309"/>
      <c r="Q39" s="309"/>
      <c r="R39" s="309"/>
      <c r="S39" s="309"/>
      <c r="T39" s="309"/>
      <c r="U39" s="309"/>
      <c r="V39" s="309"/>
      <c r="W39" s="309"/>
      <c r="X39" s="309"/>
      <c r="Y39" s="309"/>
      <c r="Z39" s="309"/>
      <c r="AA39" s="309"/>
      <c r="AB39" s="309"/>
      <c r="AC39" s="309"/>
      <c r="AD39" s="309"/>
      <c r="AE39" s="309"/>
      <c r="AF39" s="309"/>
      <c r="AG39" s="309"/>
      <c r="AH39" s="334"/>
      <c r="AI39" s="307"/>
      <c r="AJ39" s="6" t="str">
        <f t="shared" si="0"/>
        <v>0</v>
      </c>
      <c r="AK39" s="307"/>
      <c r="AL39" s="307"/>
      <c r="AM39" s="336"/>
    </row>
    <row r="40" spans="1:39" s="7" customFormat="1" ht="12.75" customHeight="1" x14ac:dyDescent="0.25">
      <c r="A40" s="311"/>
      <c r="B40" s="324"/>
      <c r="C40" s="327"/>
      <c r="D40" s="71" t="s">
        <v>94</v>
      </c>
      <c r="E40" s="228"/>
      <c r="F40" s="228"/>
      <c r="G40" s="230"/>
      <c r="H40" s="330"/>
      <c r="I40" s="330"/>
      <c r="J40" s="332"/>
      <c r="K40" s="309"/>
      <c r="L40" s="309"/>
      <c r="M40" s="309"/>
      <c r="N40" s="309"/>
      <c r="O40" s="309"/>
      <c r="P40" s="309"/>
      <c r="Q40" s="309"/>
      <c r="R40" s="309"/>
      <c r="S40" s="309"/>
      <c r="T40" s="309"/>
      <c r="U40" s="309"/>
      <c r="V40" s="309"/>
      <c r="W40" s="309"/>
      <c r="X40" s="309"/>
      <c r="Y40" s="309"/>
      <c r="Z40" s="309"/>
      <c r="AA40" s="309"/>
      <c r="AB40" s="309"/>
      <c r="AC40" s="309"/>
      <c r="AD40" s="309"/>
      <c r="AE40" s="309"/>
      <c r="AF40" s="309"/>
      <c r="AG40" s="309"/>
      <c r="AH40" s="334"/>
      <c r="AI40" s="307"/>
      <c r="AJ40" s="6" t="str">
        <f t="shared" si="0"/>
        <v>0</v>
      </c>
      <c r="AK40" s="307"/>
      <c r="AL40" s="307"/>
      <c r="AM40" s="336"/>
    </row>
    <row r="41" spans="1:39" s="7" customFormat="1" ht="15" thickBot="1" x14ac:dyDescent="0.25">
      <c r="A41" s="312"/>
      <c r="B41" s="325"/>
      <c r="C41" s="328"/>
      <c r="D41" s="72" t="s">
        <v>52</v>
      </c>
      <c r="E41" s="234"/>
      <c r="F41" s="234"/>
      <c r="G41" s="236"/>
      <c r="H41" s="237"/>
      <c r="I41" s="40">
        <f t="shared" ref="I41:I42" si="74">IF(E41&lt;&gt;"",30,0)</f>
        <v>0</v>
      </c>
      <c r="J41" s="56">
        <f t="shared" ref="J41:J42" si="75">H41-AH41</f>
        <v>0</v>
      </c>
      <c r="K41" s="238"/>
      <c r="L41" s="238"/>
      <c r="M41" s="238"/>
      <c r="N41" s="238"/>
      <c r="O41" s="238"/>
      <c r="P41" s="238"/>
      <c r="Q41" s="238"/>
      <c r="R41" s="238"/>
      <c r="S41" s="238"/>
      <c r="T41" s="238"/>
      <c r="U41" s="238"/>
      <c r="V41" s="238"/>
      <c r="W41" s="238"/>
      <c r="X41" s="238"/>
      <c r="Y41" s="238"/>
      <c r="Z41" s="238"/>
      <c r="AA41" s="238"/>
      <c r="AB41" s="238"/>
      <c r="AC41" s="238"/>
      <c r="AD41" s="238"/>
      <c r="AE41" s="238"/>
      <c r="AF41" s="238"/>
      <c r="AG41" s="238"/>
      <c r="AH41" s="57">
        <f t="shared" ref="AH41" si="76">SUM(K41:AG41)</f>
        <v>0</v>
      </c>
      <c r="AI41" s="41" t="str">
        <f t="shared" ref="AI41:AI42" si="77">IFERROR(J41/H41,"0")</f>
        <v>0</v>
      </c>
      <c r="AJ41" s="41" t="str">
        <f t="shared" si="0"/>
        <v>0</v>
      </c>
      <c r="AK41" s="41" t="str">
        <f t="shared" ref="AK41:AK42" si="78">IFERROR(F41/(F41+G41),"0")</f>
        <v>0</v>
      </c>
      <c r="AL41" s="41">
        <f t="shared" ref="AL41" si="79">IFERROR(AK41*AJ41*AI41,"0")</f>
        <v>0</v>
      </c>
      <c r="AM41" s="299"/>
    </row>
    <row r="42" spans="1:39" s="7" customFormat="1" ht="12.75" customHeight="1" x14ac:dyDescent="0.25">
      <c r="A42" s="310">
        <f t="shared" ref="A42" si="80">A38+1</f>
        <v>46032</v>
      </c>
      <c r="B42" s="323">
        <f t="shared" ref="B42" si="81">A42</f>
        <v>46032</v>
      </c>
      <c r="C42" s="326" t="s">
        <v>23</v>
      </c>
      <c r="D42" s="68" t="s">
        <v>92</v>
      </c>
      <c r="E42" s="222">
        <v>2500</v>
      </c>
      <c r="F42" s="222">
        <v>0</v>
      </c>
      <c r="G42" s="224">
        <v>0</v>
      </c>
      <c r="H42" s="329">
        <v>660</v>
      </c>
      <c r="I42" s="329">
        <f t="shared" si="74"/>
        <v>30</v>
      </c>
      <c r="J42" s="331">
        <f t="shared" si="75"/>
        <v>0</v>
      </c>
      <c r="K42" s="308"/>
      <c r="L42" s="308"/>
      <c r="M42" s="308">
        <v>660</v>
      </c>
      <c r="N42" s="308"/>
      <c r="O42" s="308"/>
      <c r="P42" s="308"/>
      <c r="Q42" s="308"/>
      <c r="R42" s="308"/>
      <c r="S42" s="308"/>
      <c r="T42" s="308"/>
      <c r="U42" s="308"/>
      <c r="V42" s="308"/>
      <c r="W42" s="308"/>
      <c r="X42" s="308"/>
      <c r="Y42" s="308"/>
      <c r="Z42" s="308"/>
      <c r="AA42" s="308"/>
      <c r="AB42" s="308"/>
      <c r="AC42" s="308"/>
      <c r="AD42" s="308"/>
      <c r="AE42" s="308"/>
      <c r="AF42" s="308"/>
      <c r="AG42" s="308"/>
      <c r="AH42" s="333">
        <f t="shared" ref="AH42" si="82">SUM(K42:AG44)</f>
        <v>660</v>
      </c>
      <c r="AI42" s="306">
        <f t="shared" si="77"/>
        <v>0</v>
      </c>
      <c r="AJ42" s="39">
        <f t="shared" si="0"/>
        <v>0</v>
      </c>
      <c r="AK42" s="306" t="str">
        <f t="shared" si="78"/>
        <v>0</v>
      </c>
      <c r="AL42" s="306">
        <f t="shared" ref="AL42" si="83">IFERROR(AK42*(AJ42+AJ43+AJ44)*AI42,"0")</f>
        <v>0</v>
      </c>
      <c r="AM42" s="335" t="s">
        <v>111</v>
      </c>
    </row>
    <row r="43" spans="1:39" s="7" customFormat="1" ht="12.75" customHeight="1" x14ac:dyDescent="0.25">
      <c r="A43" s="311"/>
      <c r="B43" s="324"/>
      <c r="C43" s="327"/>
      <c r="D43" s="71" t="s">
        <v>93</v>
      </c>
      <c r="E43" s="228">
        <v>2500</v>
      </c>
      <c r="F43" s="228">
        <v>0</v>
      </c>
      <c r="G43" s="230">
        <v>0</v>
      </c>
      <c r="H43" s="330"/>
      <c r="I43" s="330"/>
      <c r="J43" s="332"/>
      <c r="K43" s="309"/>
      <c r="L43" s="309"/>
      <c r="M43" s="309"/>
      <c r="N43" s="309"/>
      <c r="O43" s="309"/>
      <c r="P43" s="309"/>
      <c r="Q43" s="309"/>
      <c r="R43" s="309"/>
      <c r="S43" s="309"/>
      <c r="T43" s="309"/>
      <c r="U43" s="309"/>
      <c r="V43" s="309"/>
      <c r="W43" s="309"/>
      <c r="X43" s="309"/>
      <c r="Y43" s="309"/>
      <c r="Z43" s="309"/>
      <c r="AA43" s="309"/>
      <c r="AB43" s="309"/>
      <c r="AC43" s="309"/>
      <c r="AD43" s="309"/>
      <c r="AE43" s="309"/>
      <c r="AF43" s="309"/>
      <c r="AG43" s="309"/>
      <c r="AH43" s="334"/>
      <c r="AI43" s="307"/>
      <c r="AJ43" s="6">
        <f t="shared" si="0"/>
        <v>0</v>
      </c>
      <c r="AK43" s="307"/>
      <c r="AL43" s="307"/>
      <c r="AM43" s="336"/>
    </row>
    <row r="44" spans="1:39" s="7" customFormat="1" ht="12.75" customHeight="1" x14ac:dyDescent="0.25">
      <c r="A44" s="311"/>
      <c r="B44" s="324"/>
      <c r="C44" s="327"/>
      <c r="D44" s="71" t="s">
        <v>94</v>
      </c>
      <c r="E44" s="228">
        <v>2500</v>
      </c>
      <c r="F44" s="228">
        <v>0</v>
      </c>
      <c r="G44" s="230">
        <v>0</v>
      </c>
      <c r="H44" s="330"/>
      <c r="I44" s="330"/>
      <c r="J44" s="332"/>
      <c r="K44" s="309"/>
      <c r="L44" s="309"/>
      <c r="M44" s="309"/>
      <c r="N44" s="309"/>
      <c r="O44" s="309"/>
      <c r="P44" s="309"/>
      <c r="Q44" s="309"/>
      <c r="R44" s="309"/>
      <c r="S44" s="309"/>
      <c r="T44" s="309"/>
      <c r="U44" s="309"/>
      <c r="V44" s="309"/>
      <c r="W44" s="309"/>
      <c r="X44" s="309"/>
      <c r="Y44" s="309"/>
      <c r="Z44" s="309"/>
      <c r="AA44" s="309"/>
      <c r="AB44" s="309"/>
      <c r="AC44" s="309"/>
      <c r="AD44" s="309"/>
      <c r="AE44" s="309"/>
      <c r="AF44" s="309"/>
      <c r="AG44" s="309"/>
      <c r="AH44" s="334"/>
      <c r="AI44" s="307"/>
      <c r="AJ44" s="6">
        <f t="shared" si="0"/>
        <v>0</v>
      </c>
      <c r="AK44" s="307"/>
      <c r="AL44" s="307"/>
      <c r="AM44" s="336"/>
    </row>
    <row r="45" spans="1:39" s="7" customFormat="1" ht="15" thickBot="1" x14ac:dyDescent="0.25">
      <c r="A45" s="312"/>
      <c r="B45" s="325"/>
      <c r="C45" s="328"/>
      <c r="D45" s="72" t="s">
        <v>52</v>
      </c>
      <c r="E45" s="234">
        <v>2775</v>
      </c>
      <c r="F45" s="234">
        <v>1683</v>
      </c>
      <c r="G45" s="236">
        <v>0</v>
      </c>
      <c r="H45" s="237">
        <v>660</v>
      </c>
      <c r="I45" s="40">
        <f t="shared" ref="I45:I46" si="84">IF(E45&lt;&gt;"",30,0)</f>
        <v>30</v>
      </c>
      <c r="J45" s="56">
        <f t="shared" ref="J45:J46" si="85">H45-AH45</f>
        <v>430</v>
      </c>
      <c r="K45" s="238"/>
      <c r="L45" s="238"/>
      <c r="M45" s="238">
        <v>230</v>
      </c>
      <c r="N45" s="238"/>
      <c r="O45" s="238"/>
      <c r="P45" s="238"/>
      <c r="Q45" s="238"/>
      <c r="R45" s="238"/>
      <c r="S45" s="238"/>
      <c r="T45" s="238"/>
      <c r="U45" s="238"/>
      <c r="V45" s="238"/>
      <c r="W45" s="238"/>
      <c r="X45" s="238"/>
      <c r="Y45" s="238"/>
      <c r="Z45" s="238"/>
      <c r="AA45" s="238"/>
      <c r="AB45" s="238"/>
      <c r="AC45" s="238"/>
      <c r="AD45" s="238"/>
      <c r="AE45" s="238"/>
      <c r="AF45" s="238"/>
      <c r="AG45" s="238"/>
      <c r="AH45" s="57">
        <f t="shared" ref="AH45" si="86">SUM(K45:AG45)</f>
        <v>230</v>
      </c>
      <c r="AI45" s="41">
        <f t="shared" ref="AI45:AI46" si="87">IFERROR(J45/H45,"0")</f>
        <v>0.65151515151515149</v>
      </c>
      <c r="AJ45" s="41">
        <f t="shared" si="0"/>
        <v>0.60648648648648651</v>
      </c>
      <c r="AK45" s="41">
        <f t="shared" ref="AK45:AK46" si="88">IFERROR(F45/(F45+G45),"0")</f>
        <v>1</v>
      </c>
      <c r="AL45" s="41">
        <f t="shared" ref="AL45" si="89">IFERROR(AK45*AJ45*AI45,"0")</f>
        <v>0.39513513513513515</v>
      </c>
      <c r="AM45" s="299" t="s">
        <v>111</v>
      </c>
    </row>
    <row r="46" spans="1:39" s="7" customFormat="1" ht="12.75" customHeight="1" x14ac:dyDescent="0.25">
      <c r="A46" s="310">
        <f t="shared" ref="A46" si="90">A42+1</f>
        <v>46033</v>
      </c>
      <c r="B46" s="323">
        <f t="shared" ref="B46" si="91">A46</f>
        <v>46033</v>
      </c>
      <c r="C46" s="326" t="s">
        <v>23</v>
      </c>
      <c r="D46" s="68" t="s">
        <v>92</v>
      </c>
      <c r="E46" s="222">
        <v>1650</v>
      </c>
      <c r="F46" s="222">
        <v>1605</v>
      </c>
      <c r="G46" s="224">
        <v>3</v>
      </c>
      <c r="H46" s="329">
        <v>660</v>
      </c>
      <c r="I46" s="329">
        <f t="shared" si="84"/>
        <v>30</v>
      </c>
      <c r="J46" s="331">
        <f t="shared" si="85"/>
        <v>647</v>
      </c>
      <c r="K46" s="308"/>
      <c r="L46" s="308"/>
      <c r="M46" s="308">
        <v>13</v>
      </c>
      <c r="N46" s="308"/>
      <c r="O46" s="308"/>
      <c r="P46" s="308"/>
      <c r="Q46" s="308"/>
      <c r="R46" s="308"/>
      <c r="S46" s="308"/>
      <c r="T46" s="308"/>
      <c r="U46" s="308"/>
      <c r="V46" s="308"/>
      <c r="W46" s="308"/>
      <c r="X46" s="308"/>
      <c r="Y46" s="308"/>
      <c r="Z46" s="308"/>
      <c r="AA46" s="308"/>
      <c r="AB46" s="308"/>
      <c r="AC46" s="308"/>
      <c r="AD46" s="308"/>
      <c r="AE46" s="308"/>
      <c r="AF46" s="308"/>
      <c r="AG46" s="308"/>
      <c r="AH46" s="333">
        <f t="shared" ref="AH46" si="92">SUM(K46:AG48)</f>
        <v>13</v>
      </c>
      <c r="AI46" s="306">
        <f t="shared" si="87"/>
        <v>0.98030303030303034</v>
      </c>
      <c r="AJ46" s="39">
        <f t="shared" si="0"/>
        <v>0.97272727272727277</v>
      </c>
      <c r="AK46" s="306">
        <f t="shared" si="88"/>
        <v>0.99813432835820892</v>
      </c>
      <c r="AL46" s="306">
        <f t="shared" ref="AL46" si="93">IFERROR(AK46*(AJ46+AJ47+AJ48)*AI46,"0")</f>
        <v>2.8738038664044008</v>
      </c>
      <c r="AM46" s="335"/>
    </row>
    <row r="47" spans="1:39" s="7" customFormat="1" ht="12.75" customHeight="1" x14ac:dyDescent="0.25">
      <c r="A47" s="311"/>
      <c r="B47" s="324"/>
      <c r="C47" s="327"/>
      <c r="D47" s="71" t="s">
        <v>93</v>
      </c>
      <c r="E47" s="228">
        <v>2200</v>
      </c>
      <c r="F47" s="228">
        <v>2173</v>
      </c>
      <c r="G47" s="230">
        <v>0</v>
      </c>
      <c r="H47" s="330"/>
      <c r="I47" s="330"/>
      <c r="J47" s="332"/>
      <c r="K47" s="309"/>
      <c r="L47" s="309"/>
      <c r="M47" s="309"/>
      <c r="N47" s="309"/>
      <c r="O47" s="309"/>
      <c r="P47" s="309"/>
      <c r="Q47" s="309"/>
      <c r="R47" s="309"/>
      <c r="S47" s="309"/>
      <c r="T47" s="309"/>
      <c r="U47" s="309"/>
      <c r="V47" s="309"/>
      <c r="W47" s="309"/>
      <c r="X47" s="309"/>
      <c r="Y47" s="309"/>
      <c r="Z47" s="309"/>
      <c r="AA47" s="309"/>
      <c r="AB47" s="309"/>
      <c r="AC47" s="309"/>
      <c r="AD47" s="309"/>
      <c r="AE47" s="309"/>
      <c r="AF47" s="309"/>
      <c r="AG47" s="309"/>
      <c r="AH47" s="334"/>
      <c r="AI47" s="307"/>
      <c r="AJ47" s="6">
        <f t="shared" si="0"/>
        <v>0.98772727272727268</v>
      </c>
      <c r="AK47" s="307"/>
      <c r="AL47" s="307"/>
      <c r="AM47" s="336"/>
    </row>
    <row r="48" spans="1:39" s="7" customFormat="1" ht="12.75" customHeight="1" x14ac:dyDescent="0.25">
      <c r="A48" s="311"/>
      <c r="B48" s="324"/>
      <c r="C48" s="327"/>
      <c r="D48" s="71" t="s">
        <v>94</v>
      </c>
      <c r="E48" s="228">
        <v>7000</v>
      </c>
      <c r="F48" s="228">
        <v>6836</v>
      </c>
      <c r="G48" s="230">
        <v>3</v>
      </c>
      <c r="H48" s="330"/>
      <c r="I48" s="330"/>
      <c r="J48" s="332"/>
      <c r="K48" s="309"/>
      <c r="L48" s="309"/>
      <c r="M48" s="309"/>
      <c r="N48" s="309"/>
      <c r="O48" s="309"/>
      <c r="P48" s="309"/>
      <c r="Q48" s="309"/>
      <c r="R48" s="309"/>
      <c r="S48" s="309"/>
      <c r="T48" s="309"/>
      <c r="U48" s="309"/>
      <c r="V48" s="309"/>
      <c r="W48" s="309"/>
      <c r="X48" s="309"/>
      <c r="Y48" s="309"/>
      <c r="Z48" s="309"/>
      <c r="AA48" s="309"/>
      <c r="AB48" s="309"/>
      <c r="AC48" s="309"/>
      <c r="AD48" s="309"/>
      <c r="AE48" s="309"/>
      <c r="AF48" s="309"/>
      <c r="AG48" s="309"/>
      <c r="AH48" s="334"/>
      <c r="AI48" s="307"/>
      <c r="AJ48" s="6">
        <f t="shared" si="0"/>
        <v>0.97657142857142853</v>
      </c>
      <c r="AK48" s="307"/>
      <c r="AL48" s="307"/>
      <c r="AM48" s="336"/>
    </row>
    <row r="49" spans="1:39" s="7" customFormat="1" ht="15" thickBot="1" x14ac:dyDescent="0.25">
      <c r="A49" s="312"/>
      <c r="B49" s="325"/>
      <c r="C49" s="328"/>
      <c r="D49" s="72" t="s">
        <v>52</v>
      </c>
      <c r="E49" s="234">
        <v>2775</v>
      </c>
      <c r="F49" s="234">
        <v>1833</v>
      </c>
      <c r="G49" s="236">
        <v>0</v>
      </c>
      <c r="H49" s="237">
        <v>660</v>
      </c>
      <c r="I49" s="40">
        <f t="shared" ref="I49:I50" si="94">IF(E49&lt;&gt;"",30,0)</f>
        <v>30</v>
      </c>
      <c r="J49" s="56">
        <f t="shared" ref="J49:J50" si="95">H49-AH49</f>
        <v>436</v>
      </c>
      <c r="K49" s="238"/>
      <c r="L49" s="238"/>
      <c r="M49" s="238">
        <v>224</v>
      </c>
      <c r="N49" s="238"/>
      <c r="O49" s="238"/>
      <c r="P49" s="238"/>
      <c r="Q49" s="238"/>
      <c r="R49" s="238"/>
      <c r="S49" s="238"/>
      <c r="T49" s="238"/>
      <c r="U49" s="238"/>
      <c r="V49" s="238"/>
      <c r="W49" s="238"/>
      <c r="X49" s="238"/>
      <c r="Y49" s="238"/>
      <c r="Z49" s="238"/>
      <c r="AA49" s="238"/>
      <c r="AB49" s="238"/>
      <c r="AC49" s="238"/>
      <c r="AD49" s="238"/>
      <c r="AE49" s="238"/>
      <c r="AF49" s="238"/>
      <c r="AG49" s="238"/>
      <c r="AH49" s="57">
        <f t="shared" ref="AH49" si="96">SUM(K49:AG49)</f>
        <v>224</v>
      </c>
      <c r="AI49" s="41">
        <f t="shared" ref="AI49:AI50" si="97">IFERROR(J49/H49,"0")</f>
        <v>0.66060606060606064</v>
      </c>
      <c r="AJ49" s="41">
        <f t="shared" si="0"/>
        <v>0.66054054054054057</v>
      </c>
      <c r="AK49" s="41">
        <f t="shared" ref="AK49:AK50" si="98">IFERROR(F49/(F49+G49),"0")</f>
        <v>1</v>
      </c>
      <c r="AL49" s="41">
        <f t="shared" ref="AL49" si="99">IFERROR(AK49*AJ49*AI49,"0")</f>
        <v>0.43635708435708442</v>
      </c>
      <c r="AM49" s="299" t="s">
        <v>111</v>
      </c>
    </row>
    <row r="50" spans="1:39" s="7" customFormat="1" ht="12.75" customHeight="1" x14ac:dyDescent="0.25">
      <c r="A50" s="310">
        <f t="shared" ref="A50" si="100">A46+1</f>
        <v>46034</v>
      </c>
      <c r="B50" s="323">
        <f t="shared" ref="B50" si="101">A50</f>
        <v>46034</v>
      </c>
      <c r="C50" s="326" t="s">
        <v>23</v>
      </c>
      <c r="D50" s="68" t="s">
        <v>92</v>
      </c>
      <c r="E50" s="222">
        <v>2250</v>
      </c>
      <c r="F50" s="222">
        <v>2206</v>
      </c>
      <c r="G50" s="224">
        <v>0</v>
      </c>
      <c r="H50" s="329">
        <v>660</v>
      </c>
      <c r="I50" s="329">
        <f t="shared" si="94"/>
        <v>30</v>
      </c>
      <c r="J50" s="331">
        <f t="shared" si="95"/>
        <v>655</v>
      </c>
      <c r="K50" s="308"/>
      <c r="L50" s="308"/>
      <c r="M50" s="308">
        <v>5</v>
      </c>
      <c r="N50" s="308"/>
      <c r="O50" s="308"/>
      <c r="P50" s="308"/>
      <c r="Q50" s="308"/>
      <c r="R50" s="308"/>
      <c r="S50" s="308"/>
      <c r="T50" s="308"/>
      <c r="U50" s="308"/>
      <c r="V50" s="308"/>
      <c r="W50" s="308"/>
      <c r="X50" s="308"/>
      <c r="Y50" s="308"/>
      <c r="Z50" s="308"/>
      <c r="AA50" s="308"/>
      <c r="AB50" s="308"/>
      <c r="AC50" s="308"/>
      <c r="AD50" s="308"/>
      <c r="AE50" s="308"/>
      <c r="AF50" s="308"/>
      <c r="AG50" s="308"/>
      <c r="AH50" s="333">
        <f t="shared" ref="AH50" si="102">SUM(K50:AG52)</f>
        <v>5</v>
      </c>
      <c r="AI50" s="306">
        <f t="shared" si="97"/>
        <v>0.99242424242424243</v>
      </c>
      <c r="AJ50" s="39">
        <f t="shared" si="0"/>
        <v>0.98044444444444445</v>
      </c>
      <c r="AK50" s="306">
        <f t="shared" si="98"/>
        <v>1</v>
      </c>
      <c r="AL50" s="306">
        <f t="shared" ref="AL50" si="103">IFERROR(AK50*(AJ50+AJ51+AJ52)*AI50,"0")</f>
        <v>1.9626622895622896</v>
      </c>
      <c r="AM50" s="335"/>
    </row>
    <row r="51" spans="1:39" s="7" customFormat="1" ht="12.75" customHeight="1" x14ac:dyDescent="0.25">
      <c r="A51" s="311"/>
      <c r="B51" s="324"/>
      <c r="C51" s="327"/>
      <c r="D51" s="71" t="s">
        <v>93</v>
      </c>
      <c r="E51" s="228">
        <v>0</v>
      </c>
      <c r="F51" s="228">
        <v>0</v>
      </c>
      <c r="G51" s="230">
        <v>0</v>
      </c>
      <c r="H51" s="330"/>
      <c r="I51" s="330"/>
      <c r="J51" s="332"/>
      <c r="K51" s="309"/>
      <c r="L51" s="309"/>
      <c r="M51" s="309"/>
      <c r="N51" s="309"/>
      <c r="O51" s="309"/>
      <c r="P51" s="309"/>
      <c r="Q51" s="309"/>
      <c r="R51" s="309"/>
      <c r="S51" s="309"/>
      <c r="T51" s="309"/>
      <c r="U51" s="309"/>
      <c r="V51" s="309"/>
      <c r="W51" s="309"/>
      <c r="X51" s="309"/>
      <c r="Y51" s="309"/>
      <c r="Z51" s="309"/>
      <c r="AA51" s="309"/>
      <c r="AB51" s="309"/>
      <c r="AC51" s="309"/>
      <c r="AD51" s="309"/>
      <c r="AE51" s="309"/>
      <c r="AF51" s="309"/>
      <c r="AG51" s="309"/>
      <c r="AH51" s="334"/>
      <c r="AI51" s="307"/>
      <c r="AJ51" s="6" t="str">
        <f t="shared" si="0"/>
        <v>0</v>
      </c>
      <c r="AK51" s="307"/>
      <c r="AL51" s="307"/>
      <c r="AM51" s="336"/>
    </row>
    <row r="52" spans="1:39" s="7" customFormat="1" ht="12.75" customHeight="1" x14ac:dyDescent="0.25">
      <c r="A52" s="311"/>
      <c r="B52" s="324"/>
      <c r="C52" s="327"/>
      <c r="D52" s="71" t="s">
        <v>94</v>
      </c>
      <c r="E52" s="228">
        <v>5000</v>
      </c>
      <c r="F52" s="228">
        <v>4986</v>
      </c>
      <c r="G52" s="230">
        <v>8</v>
      </c>
      <c r="H52" s="330"/>
      <c r="I52" s="330"/>
      <c r="J52" s="332"/>
      <c r="K52" s="309"/>
      <c r="L52" s="309"/>
      <c r="M52" s="309"/>
      <c r="N52" s="309"/>
      <c r="O52" s="309"/>
      <c r="P52" s="309"/>
      <c r="Q52" s="309"/>
      <c r="R52" s="309"/>
      <c r="S52" s="309"/>
      <c r="T52" s="309"/>
      <c r="U52" s="309"/>
      <c r="V52" s="309"/>
      <c r="W52" s="309"/>
      <c r="X52" s="309"/>
      <c r="Y52" s="309"/>
      <c r="Z52" s="309"/>
      <c r="AA52" s="309"/>
      <c r="AB52" s="309"/>
      <c r="AC52" s="309"/>
      <c r="AD52" s="309"/>
      <c r="AE52" s="309"/>
      <c r="AF52" s="309"/>
      <c r="AG52" s="309"/>
      <c r="AH52" s="334"/>
      <c r="AI52" s="307"/>
      <c r="AJ52" s="6">
        <f t="shared" si="0"/>
        <v>0.99719999999999998</v>
      </c>
      <c r="AK52" s="307"/>
      <c r="AL52" s="307"/>
      <c r="AM52" s="336"/>
    </row>
    <row r="53" spans="1:39" s="7" customFormat="1" ht="15" thickBot="1" x14ac:dyDescent="0.25">
      <c r="A53" s="312"/>
      <c r="B53" s="325"/>
      <c r="C53" s="328"/>
      <c r="D53" s="72" t="s">
        <v>52</v>
      </c>
      <c r="E53" s="234">
        <v>2775</v>
      </c>
      <c r="F53" s="234">
        <v>1533</v>
      </c>
      <c r="G53" s="236">
        <v>0</v>
      </c>
      <c r="H53" s="237">
        <v>660</v>
      </c>
      <c r="I53" s="40">
        <f t="shared" ref="I53" si="104">IF(E53&lt;&gt;"",30,0)</f>
        <v>30</v>
      </c>
      <c r="J53" s="56">
        <f t="shared" ref="J53:J54" si="105">H53-AH53</f>
        <v>365</v>
      </c>
      <c r="K53" s="238"/>
      <c r="L53" s="238"/>
      <c r="M53" s="238">
        <v>295</v>
      </c>
      <c r="N53" s="238"/>
      <c r="O53" s="238"/>
      <c r="P53" s="238"/>
      <c r="Q53" s="238"/>
      <c r="R53" s="238"/>
      <c r="S53" s="238"/>
      <c r="T53" s="238"/>
      <c r="U53" s="238"/>
      <c r="V53" s="238"/>
      <c r="W53" s="238"/>
      <c r="X53" s="238"/>
      <c r="Y53" s="238"/>
      <c r="Z53" s="238"/>
      <c r="AA53" s="238"/>
      <c r="AB53" s="238"/>
      <c r="AC53" s="238"/>
      <c r="AD53" s="238"/>
      <c r="AE53" s="238"/>
      <c r="AF53" s="238"/>
      <c r="AG53" s="238"/>
      <c r="AH53" s="57">
        <f t="shared" ref="AH53" si="106">SUM(K53:AG53)</f>
        <v>295</v>
      </c>
      <c r="AI53" s="41">
        <f t="shared" ref="AI53:AI54" si="107">IFERROR(J53/H53,"0")</f>
        <v>0.55303030303030298</v>
      </c>
      <c r="AJ53" s="41">
        <f t="shared" si="0"/>
        <v>0.55243243243243245</v>
      </c>
      <c r="AK53" s="41">
        <f t="shared" ref="AK53:AK54" si="108">IFERROR(F53/(F53+G53),"0")</f>
        <v>1</v>
      </c>
      <c r="AL53" s="41">
        <f t="shared" ref="AL53" si="109">IFERROR(AK53*AJ53*AI53,"0")</f>
        <v>0.30551187551187547</v>
      </c>
      <c r="AM53" s="299" t="s">
        <v>111</v>
      </c>
    </row>
    <row r="54" spans="1:39" s="7" customFormat="1" ht="12.75" customHeight="1" x14ac:dyDescent="0.25">
      <c r="A54" s="310">
        <f t="shared" ref="A54" si="110">A50+1</f>
        <v>46035</v>
      </c>
      <c r="B54" s="323">
        <f t="shared" ref="B54:B90" si="111">A54</f>
        <v>46035</v>
      </c>
      <c r="C54" s="326" t="s">
        <v>23</v>
      </c>
      <c r="D54" s="68" t="s">
        <v>92</v>
      </c>
      <c r="E54" s="222">
        <v>3000</v>
      </c>
      <c r="F54" s="222">
        <v>2899</v>
      </c>
      <c r="G54" s="224">
        <v>6</v>
      </c>
      <c r="H54" s="329">
        <v>660</v>
      </c>
      <c r="I54" s="329">
        <v>30</v>
      </c>
      <c r="J54" s="331">
        <f t="shared" si="105"/>
        <v>640</v>
      </c>
      <c r="K54" s="308"/>
      <c r="L54" s="308"/>
      <c r="M54" s="308">
        <v>20</v>
      </c>
      <c r="N54" s="308"/>
      <c r="O54" s="308"/>
      <c r="P54" s="308"/>
      <c r="Q54" s="308"/>
      <c r="R54" s="308"/>
      <c r="S54" s="308"/>
      <c r="T54" s="308"/>
      <c r="U54" s="308"/>
      <c r="V54" s="308"/>
      <c r="W54" s="308"/>
      <c r="X54" s="308"/>
      <c r="Y54" s="308"/>
      <c r="Z54" s="308"/>
      <c r="AA54" s="308"/>
      <c r="AB54" s="308"/>
      <c r="AC54" s="308"/>
      <c r="AD54" s="308"/>
      <c r="AE54" s="308"/>
      <c r="AF54" s="308"/>
      <c r="AG54" s="308"/>
      <c r="AH54" s="333">
        <f t="shared" ref="AH54" si="112">SUM(K54:AG56)</f>
        <v>20</v>
      </c>
      <c r="AI54" s="306">
        <f t="shared" si="107"/>
        <v>0.96969696969696972</v>
      </c>
      <c r="AJ54" s="39">
        <f t="shared" si="0"/>
        <v>0.96633333333333338</v>
      </c>
      <c r="AK54" s="306">
        <f t="shared" si="108"/>
        <v>0.997934595524957</v>
      </c>
      <c r="AL54" s="306">
        <f t="shared" ref="AL54" si="113">IFERROR(AK54*(AJ54+AJ55+AJ56)*AI54,"0")</f>
        <v>1.8495860915523568</v>
      </c>
      <c r="AM54" s="335"/>
    </row>
    <row r="55" spans="1:39" s="7" customFormat="1" ht="12.75" customHeight="1" x14ac:dyDescent="0.25">
      <c r="A55" s="311"/>
      <c r="B55" s="324"/>
      <c r="C55" s="327"/>
      <c r="D55" s="71" t="s">
        <v>93</v>
      </c>
      <c r="E55" s="228">
        <v>2000</v>
      </c>
      <c r="F55" s="228">
        <v>1890</v>
      </c>
      <c r="G55" s="230">
        <v>0</v>
      </c>
      <c r="H55" s="330"/>
      <c r="I55" s="330"/>
      <c r="J55" s="332"/>
      <c r="K55" s="309"/>
      <c r="L55" s="309"/>
      <c r="M55" s="309"/>
      <c r="N55" s="309"/>
      <c r="O55" s="309"/>
      <c r="P55" s="309"/>
      <c r="Q55" s="309"/>
      <c r="R55" s="309"/>
      <c r="S55" s="309"/>
      <c r="T55" s="309"/>
      <c r="U55" s="309"/>
      <c r="V55" s="309"/>
      <c r="W55" s="309"/>
      <c r="X55" s="309"/>
      <c r="Y55" s="309"/>
      <c r="Z55" s="309"/>
      <c r="AA55" s="309"/>
      <c r="AB55" s="309"/>
      <c r="AC55" s="309"/>
      <c r="AD55" s="309"/>
      <c r="AE55" s="309"/>
      <c r="AF55" s="309"/>
      <c r="AG55" s="309"/>
      <c r="AH55" s="334"/>
      <c r="AI55" s="307"/>
      <c r="AJ55" s="6">
        <f t="shared" si="0"/>
        <v>0.94499999999999995</v>
      </c>
      <c r="AK55" s="307"/>
      <c r="AL55" s="307"/>
      <c r="AM55" s="336"/>
    </row>
    <row r="56" spans="1:39" s="7" customFormat="1" ht="12.75" customHeight="1" x14ac:dyDescent="0.25">
      <c r="A56" s="311"/>
      <c r="B56" s="324"/>
      <c r="C56" s="327"/>
      <c r="D56" s="71" t="s">
        <v>94</v>
      </c>
      <c r="E56" s="228">
        <v>0</v>
      </c>
      <c r="F56" s="228">
        <v>0</v>
      </c>
      <c r="G56" s="230">
        <v>0</v>
      </c>
      <c r="H56" s="330"/>
      <c r="I56" s="330"/>
      <c r="J56" s="332"/>
      <c r="K56" s="309"/>
      <c r="L56" s="309"/>
      <c r="M56" s="309"/>
      <c r="N56" s="309"/>
      <c r="O56" s="309"/>
      <c r="P56" s="309"/>
      <c r="Q56" s="309"/>
      <c r="R56" s="309"/>
      <c r="S56" s="309"/>
      <c r="T56" s="309"/>
      <c r="U56" s="309"/>
      <c r="V56" s="309"/>
      <c r="W56" s="309"/>
      <c r="X56" s="309"/>
      <c r="Y56" s="309"/>
      <c r="Z56" s="309"/>
      <c r="AA56" s="309"/>
      <c r="AB56" s="309"/>
      <c r="AC56" s="309"/>
      <c r="AD56" s="309"/>
      <c r="AE56" s="309"/>
      <c r="AF56" s="309"/>
      <c r="AG56" s="309"/>
      <c r="AH56" s="334"/>
      <c r="AI56" s="307"/>
      <c r="AJ56" s="6" t="str">
        <f t="shared" si="0"/>
        <v>0</v>
      </c>
      <c r="AK56" s="307"/>
      <c r="AL56" s="307"/>
      <c r="AM56" s="336"/>
    </row>
    <row r="57" spans="1:39" s="7" customFormat="1" ht="15" thickBot="1" x14ac:dyDescent="0.25">
      <c r="A57" s="312"/>
      <c r="B57" s="325"/>
      <c r="C57" s="328"/>
      <c r="D57" s="72" t="s">
        <v>52</v>
      </c>
      <c r="E57" s="234">
        <v>2775</v>
      </c>
      <c r="F57" s="234">
        <v>2166</v>
      </c>
      <c r="G57" s="236">
        <v>0</v>
      </c>
      <c r="H57" s="237">
        <v>660</v>
      </c>
      <c r="I57" s="40">
        <f t="shared" ref="I57:I58" si="114">IF(E57&lt;&gt;"",30,0)</f>
        <v>30</v>
      </c>
      <c r="J57" s="56">
        <f t="shared" ref="J57:J58" si="115">H57-AH57</f>
        <v>515</v>
      </c>
      <c r="K57" s="238"/>
      <c r="L57" s="238"/>
      <c r="M57" s="238">
        <v>145</v>
      </c>
      <c r="N57" s="238"/>
      <c r="O57" s="238"/>
      <c r="P57" s="238"/>
      <c r="Q57" s="238"/>
      <c r="R57" s="238"/>
      <c r="S57" s="238"/>
      <c r="T57" s="238"/>
      <c r="U57" s="238"/>
      <c r="V57" s="238"/>
      <c r="W57" s="238"/>
      <c r="X57" s="238"/>
      <c r="Y57" s="238"/>
      <c r="Z57" s="238"/>
      <c r="AA57" s="238"/>
      <c r="AB57" s="238"/>
      <c r="AC57" s="238"/>
      <c r="AD57" s="238"/>
      <c r="AE57" s="238"/>
      <c r="AF57" s="238"/>
      <c r="AG57" s="238"/>
      <c r="AH57" s="57">
        <f t="shared" ref="AH57" si="116">SUM(K57:AG57)</f>
        <v>145</v>
      </c>
      <c r="AI57" s="41">
        <f t="shared" ref="AI57:AI58" si="117">IFERROR(J57/H57,"0")</f>
        <v>0.78030303030303028</v>
      </c>
      <c r="AJ57" s="41">
        <f t="shared" si="0"/>
        <v>0.78054054054054056</v>
      </c>
      <c r="AK57" s="41">
        <f t="shared" ref="AK57:AK58" si="118">IFERROR(F57/(F57+G57),"0")</f>
        <v>1</v>
      </c>
      <c r="AL57" s="41">
        <f t="shared" ref="AL57" si="119">IFERROR(AK57*AJ57*AI57,"0")</f>
        <v>0.60905814905814903</v>
      </c>
      <c r="AM57" s="299" t="s">
        <v>111</v>
      </c>
    </row>
    <row r="58" spans="1:39" s="7" customFormat="1" ht="12.75" customHeight="1" x14ac:dyDescent="0.25">
      <c r="A58" s="310">
        <f t="shared" ref="A58" si="120">A54+1</f>
        <v>46036</v>
      </c>
      <c r="B58" s="323">
        <f t="shared" si="111"/>
        <v>46036</v>
      </c>
      <c r="C58" s="326" t="s">
        <v>23</v>
      </c>
      <c r="D58" s="68" t="s">
        <v>92</v>
      </c>
      <c r="E58" s="222">
        <v>2500</v>
      </c>
      <c r="F58" s="222">
        <v>0</v>
      </c>
      <c r="G58" s="224">
        <v>0</v>
      </c>
      <c r="H58" s="329">
        <v>660</v>
      </c>
      <c r="I58" s="329">
        <f t="shared" si="114"/>
        <v>30</v>
      </c>
      <c r="J58" s="331">
        <f t="shared" si="115"/>
        <v>0</v>
      </c>
      <c r="K58" s="308"/>
      <c r="L58" s="308"/>
      <c r="M58" s="308">
        <v>660</v>
      </c>
      <c r="N58" s="308"/>
      <c r="O58" s="308"/>
      <c r="P58" s="308"/>
      <c r="Q58" s="308"/>
      <c r="R58" s="308"/>
      <c r="S58" s="308"/>
      <c r="T58" s="308"/>
      <c r="U58" s="308"/>
      <c r="V58" s="308"/>
      <c r="W58" s="308"/>
      <c r="X58" s="308"/>
      <c r="Y58" s="308"/>
      <c r="Z58" s="308"/>
      <c r="AA58" s="308"/>
      <c r="AB58" s="308"/>
      <c r="AC58" s="308"/>
      <c r="AD58" s="308"/>
      <c r="AE58" s="308"/>
      <c r="AF58" s="308"/>
      <c r="AG58" s="308"/>
      <c r="AH58" s="333">
        <f t="shared" ref="AH58" si="121">SUM(K58:AG60)</f>
        <v>660</v>
      </c>
      <c r="AI58" s="306">
        <f t="shared" si="117"/>
        <v>0</v>
      </c>
      <c r="AJ58" s="39">
        <f t="shared" si="0"/>
        <v>0</v>
      </c>
      <c r="AK58" s="306" t="str">
        <f t="shared" si="118"/>
        <v>0</v>
      </c>
      <c r="AL58" s="306">
        <f t="shared" ref="AL58" si="122">IFERROR(AK58*(AJ58+AJ59+AJ60)*AI58,"0")</f>
        <v>0</v>
      </c>
      <c r="AM58" s="335" t="s">
        <v>111</v>
      </c>
    </row>
    <row r="59" spans="1:39" s="7" customFormat="1" ht="12.75" customHeight="1" x14ac:dyDescent="0.25">
      <c r="A59" s="311"/>
      <c r="B59" s="324"/>
      <c r="C59" s="327"/>
      <c r="D59" s="71" t="s">
        <v>93</v>
      </c>
      <c r="E59" s="228">
        <v>2500</v>
      </c>
      <c r="F59" s="228">
        <v>0</v>
      </c>
      <c r="G59" s="230">
        <v>0</v>
      </c>
      <c r="H59" s="330"/>
      <c r="I59" s="330"/>
      <c r="J59" s="332"/>
      <c r="K59" s="309"/>
      <c r="L59" s="309"/>
      <c r="M59" s="309"/>
      <c r="N59" s="309"/>
      <c r="O59" s="309"/>
      <c r="P59" s="309"/>
      <c r="Q59" s="309"/>
      <c r="R59" s="309"/>
      <c r="S59" s="309"/>
      <c r="T59" s="309"/>
      <c r="U59" s="309"/>
      <c r="V59" s="309"/>
      <c r="W59" s="309"/>
      <c r="X59" s="309"/>
      <c r="Y59" s="309"/>
      <c r="Z59" s="309"/>
      <c r="AA59" s="309"/>
      <c r="AB59" s="309"/>
      <c r="AC59" s="309"/>
      <c r="AD59" s="309"/>
      <c r="AE59" s="309"/>
      <c r="AF59" s="309"/>
      <c r="AG59" s="309"/>
      <c r="AH59" s="334"/>
      <c r="AI59" s="307"/>
      <c r="AJ59" s="6">
        <f t="shared" si="0"/>
        <v>0</v>
      </c>
      <c r="AK59" s="307"/>
      <c r="AL59" s="307"/>
      <c r="AM59" s="336"/>
    </row>
    <row r="60" spans="1:39" s="7" customFormat="1" ht="12.75" customHeight="1" x14ac:dyDescent="0.25">
      <c r="A60" s="311"/>
      <c r="B60" s="324"/>
      <c r="C60" s="327"/>
      <c r="D60" s="71" t="s">
        <v>94</v>
      </c>
      <c r="E60" s="228">
        <v>2500</v>
      </c>
      <c r="F60" s="228">
        <v>0</v>
      </c>
      <c r="G60" s="230">
        <v>0</v>
      </c>
      <c r="H60" s="330"/>
      <c r="I60" s="330"/>
      <c r="J60" s="332"/>
      <c r="K60" s="309"/>
      <c r="L60" s="309"/>
      <c r="M60" s="309"/>
      <c r="N60" s="309"/>
      <c r="O60" s="309"/>
      <c r="P60" s="309"/>
      <c r="Q60" s="309"/>
      <c r="R60" s="309"/>
      <c r="S60" s="309"/>
      <c r="T60" s="309"/>
      <c r="U60" s="309"/>
      <c r="V60" s="309"/>
      <c r="W60" s="309"/>
      <c r="X60" s="309"/>
      <c r="Y60" s="309"/>
      <c r="Z60" s="309"/>
      <c r="AA60" s="309"/>
      <c r="AB60" s="309"/>
      <c r="AC60" s="309"/>
      <c r="AD60" s="309"/>
      <c r="AE60" s="309"/>
      <c r="AF60" s="309"/>
      <c r="AG60" s="309"/>
      <c r="AH60" s="334"/>
      <c r="AI60" s="307"/>
      <c r="AJ60" s="6">
        <f t="shared" si="0"/>
        <v>0</v>
      </c>
      <c r="AK60" s="307"/>
      <c r="AL60" s="307"/>
      <c r="AM60" s="336"/>
    </row>
    <row r="61" spans="1:39" s="7" customFormat="1" ht="15" thickBot="1" x14ac:dyDescent="0.25">
      <c r="A61" s="312"/>
      <c r="B61" s="325"/>
      <c r="C61" s="328"/>
      <c r="D61" s="72" t="s">
        <v>52</v>
      </c>
      <c r="E61" s="234">
        <v>2775</v>
      </c>
      <c r="F61" s="234">
        <v>1866</v>
      </c>
      <c r="G61" s="236">
        <v>0</v>
      </c>
      <c r="H61" s="237">
        <v>660</v>
      </c>
      <c r="I61" s="40">
        <f t="shared" ref="I61:I62" si="123">IF(E61&lt;&gt;"",30,0)</f>
        <v>30</v>
      </c>
      <c r="J61" s="56">
        <f t="shared" ref="J61:J62" si="124">H61-AH61</f>
        <v>444</v>
      </c>
      <c r="K61" s="238"/>
      <c r="L61" s="238"/>
      <c r="M61" s="238">
        <v>216</v>
      </c>
      <c r="N61" s="238"/>
      <c r="O61" s="238"/>
      <c r="P61" s="238"/>
      <c r="Q61" s="238"/>
      <c r="R61" s="238"/>
      <c r="S61" s="238"/>
      <c r="T61" s="238"/>
      <c r="U61" s="238"/>
      <c r="V61" s="238"/>
      <c r="W61" s="238"/>
      <c r="X61" s="238"/>
      <c r="Y61" s="238"/>
      <c r="Z61" s="238"/>
      <c r="AA61" s="238"/>
      <c r="AB61" s="238"/>
      <c r="AC61" s="238"/>
      <c r="AD61" s="238"/>
      <c r="AE61" s="238"/>
      <c r="AF61" s="238"/>
      <c r="AG61" s="238"/>
      <c r="AH61" s="57">
        <f t="shared" ref="AH61" si="125">SUM(K61:AG61)</f>
        <v>216</v>
      </c>
      <c r="AI61" s="41">
        <f t="shared" ref="AI61:AI62" si="126">IFERROR(J61/H61,"0")</f>
        <v>0.67272727272727273</v>
      </c>
      <c r="AJ61" s="41">
        <f t="shared" si="0"/>
        <v>0.67243243243243245</v>
      </c>
      <c r="AK61" s="41">
        <f t="shared" ref="AK61:AK62" si="127">IFERROR(F61/(F61+G61),"0")</f>
        <v>1</v>
      </c>
      <c r="AL61" s="41">
        <f t="shared" ref="AL61" si="128">IFERROR(AK61*AJ61*AI61,"0")</f>
        <v>0.45236363636363636</v>
      </c>
      <c r="AM61" s="299" t="s">
        <v>111</v>
      </c>
    </row>
    <row r="62" spans="1:39" s="7" customFormat="1" ht="12.75" customHeight="1" x14ac:dyDescent="0.25">
      <c r="A62" s="310">
        <f t="shared" ref="A62" si="129">A58+1</f>
        <v>46037</v>
      </c>
      <c r="B62" s="323">
        <f t="shared" si="111"/>
        <v>46037</v>
      </c>
      <c r="C62" s="326" t="s">
        <v>23</v>
      </c>
      <c r="D62" s="68" t="s">
        <v>92</v>
      </c>
      <c r="E62" s="222">
        <v>3300</v>
      </c>
      <c r="F62" s="222">
        <v>3219</v>
      </c>
      <c r="G62" s="224">
        <v>9</v>
      </c>
      <c r="H62" s="329">
        <v>660</v>
      </c>
      <c r="I62" s="329">
        <f t="shared" si="123"/>
        <v>30</v>
      </c>
      <c r="J62" s="331">
        <f t="shared" si="124"/>
        <v>631</v>
      </c>
      <c r="K62" s="308"/>
      <c r="L62" s="308"/>
      <c r="M62" s="308">
        <v>29</v>
      </c>
      <c r="N62" s="308"/>
      <c r="O62" s="308"/>
      <c r="P62" s="308"/>
      <c r="Q62" s="308"/>
      <c r="R62" s="308"/>
      <c r="S62" s="308"/>
      <c r="T62" s="308"/>
      <c r="U62" s="308"/>
      <c r="V62" s="308"/>
      <c r="W62" s="308"/>
      <c r="X62" s="308"/>
      <c r="Y62" s="308"/>
      <c r="Z62" s="308"/>
      <c r="AA62" s="308"/>
      <c r="AB62" s="308"/>
      <c r="AC62" s="308"/>
      <c r="AD62" s="308"/>
      <c r="AE62" s="308"/>
      <c r="AF62" s="308"/>
      <c r="AG62" s="308"/>
      <c r="AH62" s="333">
        <f t="shared" ref="AH62" si="130">SUM(K62:AG64)</f>
        <v>29</v>
      </c>
      <c r="AI62" s="306">
        <f t="shared" si="126"/>
        <v>0.95606060606060606</v>
      </c>
      <c r="AJ62" s="39">
        <f t="shared" si="0"/>
        <v>0.97545454545454546</v>
      </c>
      <c r="AK62" s="306">
        <f t="shared" si="127"/>
        <v>0.99721189591078063</v>
      </c>
      <c r="AL62" s="306">
        <f t="shared" ref="AL62" si="131">IFERROR(AK62*(AJ62+AJ63+AJ64)*AI62,"0")</f>
        <v>2.7311258860877397</v>
      </c>
      <c r="AM62" s="335"/>
    </row>
    <row r="63" spans="1:39" s="7" customFormat="1" ht="12.75" customHeight="1" x14ac:dyDescent="0.25">
      <c r="A63" s="311"/>
      <c r="B63" s="324"/>
      <c r="C63" s="327"/>
      <c r="D63" s="71" t="s">
        <v>93</v>
      </c>
      <c r="E63" s="228">
        <v>2100</v>
      </c>
      <c r="F63" s="228">
        <v>2020</v>
      </c>
      <c r="G63" s="230">
        <v>0</v>
      </c>
      <c r="H63" s="330"/>
      <c r="I63" s="330"/>
      <c r="J63" s="332"/>
      <c r="K63" s="309"/>
      <c r="L63" s="309"/>
      <c r="M63" s="309"/>
      <c r="N63" s="309"/>
      <c r="O63" s="309"/>
      <c r="P63" s="309"/>
      <c r="Q63" s="309"/>
      <c r="R63" s="309"/>
      <c r="S63" s="309"/>
      <c r="T63" s="309"/>
      <c r="U63" s="309"/>
      <c r="V63" s="309"/>
      <c r="W63" s="309"/>
      <c r="X63" s="309"/>
      <c r="Y63" s="309"/>
      <c r="Z63" s="309"/>
      <c r="AA63" s="309"/>
      <c r="AB63" s="309"/>
      <c r="AC63" s="309"/>
      <c r="AD63" s="309"/>
      <c r="AE63" s="309"/>
      <c r="AF63" s="309"/>
      <c r="AG63" s="309"/>
      <c r="AH63" s="334"/>
      <c r="AI63" s="307"/>
      <c r="AJ63" s="6">
        <f t="shared" si="0"/>
        <v>0.96190476190476193</v>
      </c>
      <c r="AK63" s="307"/>
      <c r="AL63" s="307"/>
      <c r="AM63" s="336"/>
    </row>
    <row r="64" spans="1:39" s="7" customFormat="1" ht="12.75" customHeight="1" x14ac:dyDescent="0.25">
      <c r="A64" s="311"/>
      <c r="B64" s="324"/>
      <c r="C64" s="327"/>
      <c r="D64" s="71" t="s">
        <v>94</v>
      </c>
      <c r="E64" s="228">
        <v>110</v>
      </c>
      <c r="F64" s="228">
        <v>102</v>
      </c>
      <c r="G64" s="230">
        <v>0</v>
      </c>
      <c r="H64" s="330"/>
      <c r="I64" s="330"/>
      <c r="J64" s="332"/>
      <c r="K64" s="309"/>
      <c r="L64" s="309"/>
      <c r="M64" s="309"/>
      <c r="N64" s="309"/>
      <c r="O64" s="309"/>
      <c r="P64" s="309"/>
      <c r="Q64" s="309"/>
      <c r="R64" s="309"/>
      <c r="S64" s="309"/>
      <c r="T64" s="309"/>
      <c r="U64" s="309"/>
      <c r="V64" s="309"/>
      <c r="W64" s="309"/>
      <c r="X64" s="309"/>
      <c r="Y64" s="309"/>
      <c r="Z64" s="309"/>
      <c r="AA64" s="309"/>
      <c r="AB64" s="309"/>
      <c r="AC64" s="309"/>
      <c r="AD64" s="309"/>
      <c r="AE64" s="309"/>
      <c r="AF64" s="309"/>
      <c r="AG64" s="309"/>
      <c r="AH64" s="334"/>
      <c r="AI64" s="307"/>
      <c r="AJ64" s="6">
        <f t="shared" si="0"/>
        <v>0.92727272727272725</v>
      </c>
      <c r="AK64" s="307"/>
      <c r="AL64" s="307"/>
      <c r="AM64" s="336"/>
    </row>
    <row r="65" spans="1:39" s="7" customFormat="1" ht="15" thickBot="1" x14ac:dyDescent="0.25">
      <c r="A65" s="312"/>
      <c r="B65" s="325"/>
      <c r="C65" s="328"/>
      <c r="D65" s="72" t="s">
        <v>52</v>
      </c>
      <c r="E65" s="234">
        <v>2775</v>
      </c>
      <c r="F65" s="234">
        <v>1966</v>
      </c>
      <c r="G65" s="236">
        <v>0</v>
      </c>
      <c r="H65" s="237">
        <v>660</v>
      </c>
      <c r="I65" s="40">
        <f t="shared" ref="I65" si="132">IF(E65&lt;&gt;"",30,0)</f>
        <v>30</v>
      </c>
      <c r="J65" s="56">
        <f t="shared" ref="J65:J66" si="133">H65-AH65</f>
        <v>468</v>
      </c>
      <c r="K65" s="238"/>
      <c r="L65" s="238"/>
      <c r="M65" s="238">
        <v>192</v>
      </c>
      <c r="N65" s="238"/>
      <c r="O65" s="238"/>
      <c r="P65" s="238"/>
      <c r="Q65" s="238"/>
      <c r="R65" s="238"/>
      <c r="S65" s="238"/>
      <c r="T65" s="238"/>
      <c r="U65" s="238"/>
      <c r="V65" s="238"/>
      <c r="W65" s="238"/>
      <c r="X65" s="238"/>
      <c r="Y65" s="238"/>
      <c r="Z65" s="238"/>
      <c r="AA65" s="238"/>
      <c r="AB65" s="238"/>
      <c r="AC65" s="238"/>
      <c r="AD65" s="238"/>
      <c r="AE65" s="238"/>
      <c r="AF65" s="238"/>
      <c r="AG65" s="238"/>
      <c r="AH65" s="57">
        <f t="shared" ref="AH65" si="134">SUM(K65:AG65)</f>
        <v>192</v>
      </c>
      <c r="AI65" s="41">
        <f t="shared" ref="AI65:AI66" si="135">IFERROR(J65/H65,"0")</f>
        <v>0.70909090909090911</v>
      </c>
      <c r="AJ65" s="41">
        <f t="shared" si="0"/>
        <v>0.70846846846846845</v>
      </c>
      <c r="AK65" s="41">
        <f t="shared" ref="AK65:AK66" si="136">IFERROR(F65/(F65+G65),"0")</f>
        <v>1</v>
      </c>
      <c r="AL65" s="41">
        <f t="shared" ref="AL65" si="137">IFERROR(AK65*AJ65*AI65,"0")</f>
        <v>0.50236855036855033</v>
      </c>
      <c r="AM65" s="299" t="s">
        <v>111</v>
      </c>
    </row>
    <row r="66" spans="1:39" s="7" customFormat="1" ht="12.75" customHeight="1" x14ac:dyDescent="0.25">
      <c r="A66" s="310">
        <f t="shared" ref="A66" si="138">A62+1</f>
        <v>46038</v>
      </c>
      <c r="B66" s="323">
        <f t="shared" si="111"/>
        <v>46038</v>
      </c>
      <c r="C66" s="326" t="s">
        <v>23</v>
      </c>
      <c r="D66" s="68" t="s">
        <v>92</v>
      </c>
      <c r="E66" s="222">
        <v>2500</v>
      </c>
      <c r="F66" s="222">
        <v>0</v>
      </c>
      <c r="G66" s="224">
        <v>0</v>
      </c>
      <c r="H66" s="329">
        <v>480</v>
      </c>
      <c r="I66" s="329">
        <f>IF(E66&lt;&gt;"",30,0)</f>
        <v>30</v>
      </c>
      <c r="J66" s="331">
        <f t="shared" si="133"/>
        <v>0</v>
      </c>
      <c r="K66" s="308"/>
      <c r="L66" s="308"/>
      <c r="M66" s="308">
        <v>480</v>
      </c>
      <c r="N66" s="308"/>
      <c r="O66" s="308"/>
      <c r="P66" s="308"/>
      <c r="Q66" s="308"/>
      <c r="R66" s="308"/>
      <c r="S66" s="308"/>
      <c r="T66" s="308"/>
      <c r="U66" s="308"/>
      <c r="V66" s="308"/>
      <c r="W66" s="308"/>
      <c r="X66" s="308"/>
      <c r="Y66" s="308"/>
      <c r="Z66" s="308"/>
      <c r="AA66" s="308"/>
      <c r="AB66" s="308"/>
      <c r="AC66" s="308"/>
      <c r="AD66" s="308"/>
      <c r="AE66" s="308"/>
      <c r="AF66" s="308"/>
      <c r="AG66" s="308"/>
      <c r="AH66" s="333">
        <f t="shared" ref="AH66" si="139">SUM(K66:AG68)</f>
        <v>480</v>
      </c>
      <c r="AI66" s="306">
        <f t="shared" si="135"/>
        <v>0</v>
      </c>
      <c r="AJ66" s="39">
        <f t="shared" si="0"/>
        <v>0</v>
      </c>
      <c r="AK66" s="306" t="str">
        <f t="shared" si="136"/>
        <v>0</v>
      </c>
      <c r="AL66" s="306">
        <f t="shared" ref="AL66" si="140">IFERROR(AK66*(AJ66+AJ67+AJ68)*AI66,"0")</f>
        <v>0</v>
      </c>
      <c r="AM66" s="335" t="s">
        <v>111</v>
      </c>
    </row>
    <row r="67" spans="1:39" s="7" customFormat="1" ht="12.75" customHeight="1" x14ac:dyDescent="0.25">
      <c r="A67" s="311"/>
      <c r="B67" s="324"/>
      <c r="C67" s="327"/>
      <c r="D67" s="71" t="s">
        <v>93</v>
      </c>
      <c r="E67" s="228">
        <v>2500</v>
      </c>
      <c r="F67" s="228">
        <v>0</v>
      </c>
      <c r="G67" s="230">
        <v>0</v>
      </c>
      <c r="H67" s="330"/>
      <c r="I67" s="330"/>
      <c r="J67" s="332"/>
      <c r="K67" s="309"/>
      <c r="L67" s="309"/>
      <c r="M67" s="309"/>
      <c r="N67" s="309"/>
      <c r="O67" s="309"/>
      <c r="P67" s="309"/>
      <c r="Q67" s="309"/>
      <c r="R67" s="309"/>
      <c r="S67" s="309"/>
      <c r="T67" s="309"/>
      <c r="U67" s="309"/>
      <c r="V67" s="309"/>
      <c r="W67" s="309"/>
      <c r="X67" s="309"/>
      <c r="Y67" s="309"/>
      <c r="Z67" s="309"/>
      <c r="AA67" s="309"/>
      <c r="AB67" s="309"/>
      <c r="AC67" s="309"/>
      <c r="AD67" s="309"/>
      <c r="AE67" s="309"/>
      <c r="AF67" s="309"/>
      <c r="AG67" s="309"/>
      <c r="AH67" s="334"/>
      <c r="AI67" s="307"/>
      <c r="AJ67" s="6">
        <f t="shared" si="0"/>
        <v>0</v>
      </c>
      <c r="AK67" s="307"/>
      <c r="AL67" s="307"/>
      <c r="AM67" s="336"/>
    </row>
    <row r="68" spans="1:39" s="7" customFormat="1" ht="12.75" customHeight="1" x14ac:dyDescent="0.25">
      <c r="A68" s="311"/>
      <c r="B68" s="324"/>
      <c r="C68" s="327"/>
      <c r="D68" s="71" t="s">
        <v>94</v>
      </c>
      <c r="E68" s="228">
        <v>2500</v>
      </c>
      <c r="F68" s="228">
        <v>0</v>
      </c>
      <c r="G68" s="230">
        <v>0</v>
      </c>
      <c r="H68" s="330"/>
      <c r="I68" s="330"/>
      <c r="J68" s="332"/>
      <c r="K68" s="309"/>
      <c r="L68" s="309"/>
      <c r="M68" s="309"/>
      <c r="N68" s="309"/>
      <c r="O68" s="309"/>
      <c r="P68" s="309"/>
      <c r="Q68" s="309"/>
      <c r="R68" s="309"/>
      <c r="S68" s="309"/>
      <c r="T68" s="309"/>
      <c r="U68" s="309"/>
      <c r="V68" s="309"/>
      <c r="W68" s="309"/>
      <c r="X68" s="309"/>
      <c r="Y68" s="309"/>
      <c r="Z68" s="309"/>
      <c r="AA68" s="309"/>
      <c r="AB68" s="309"/>
      <c r="AC68" s="309"/>
      <c r="AD68" s="309"/>
      <c r="AE68" s="309"/>
      <c r="AF68" s="309"/>
      <c r="AG68" s="309"/>
      <c r="AH68" s="334"/>
      <c r="AI68" s="307"/>
      <c r="AJ68" s="6">
        <f t="shared" si="0"/>
        <v>0</v>
      </c>
      <c r="AK68" s="307"/>
      <c r="AL68" s="307"/>
      <c r="AM68" s="336"/>
    </row>
    <row r="69" spans="1:39" s="7" customFormat="1" ht="15" thickBot="1" x14ac:dyDescent="0.25">
      <c r="A69" s="312"/>
      <c r="B69" s="325"/>
      <c r="C69" s="328"/>
      <c r="D69" s="72" t="s">
        <v>52</v>
      </c>
      <c r="E69" s="234">
        <v>2000</v>
      </c>
      <c r="F69" s="234">
        <v>1400</v>
      </c>
      <c r="G69" s="236">
        <v>0</v>
      </c>
      <c r="H69" s="237">
        <v>480</v>
      </c>
      <c r="I69" s="40">
        <f t="shared" ref="I69:I70" si="141">IF(E69&lt;&gt;"",30,0)</f>
        <v>30</v>
      </c>
      <c r="J69" s="56">
        <f t="shared" ref="J69:J70" si="142">H69-AH69</f>
        <v>336</v>
      </c>
      <c r="K69" s="238"/>
      <c r="L69" s="238"/>
      <c r="M69" s="238">
        <v>144</v>
      </c>
      <c r="N69" s="238"/>
      <c r="O69" s="238"/>
      <c r="P69" s="238"/>
      <c r="Q69" s="238"/>
      <c r="R69" s="238"/>
      <c r="S69" s="238"/>
      <c r="T69" s="238"/>
      <c r="U69" s="238"/>
      <c r="V69" s="238"/>
      <c r="W69" s="238"/>
      <c r="X69" s="238"/>
      <c r="Y69" s="238"/>
      <c r="Z69" s="238"/>
      <c r="AA69" s="238"/>
      <c r="AB69" s="238"/>
      <c r="AC69" s="238"/>
      <c r="AD69" s="238"/>
      <c r="AE69" s="238"/>
      <c r="AF69" s="238"/>
      <c r="AG69" s="238"/>
      <c r="AH69" s="57">
        <f t="shared" ref="AH69" si="143">SUM(K69:AG69)</f>
        <v>144</v>
      </c>
      <c r="AI69" s="41">
        <f t="shared" ref="AI69:AI70" si="144">IFERROR(J69/H69,"0")</f>
        <v>0.7</v>
      </c>
      <c r="AJ69" s="41">
        <f t="shared" si="0"/>
        <v>0.7</v>
      </c>
      <c r="AK69" s="41">
        <f t="shared" ref="AK69:AK70" si="145">IFERROR(F69/(F69+G69),"0")</f>
        <v>1</v>
      </c>
      <c r="AL69" s="41">
        <f t="shared" ref="AL69" si="146">IFERROR(AK69*AJ69*AI69,"0")</f>
        <v>0.48999999999999994</v>
      </c>
      <c r="AM69" s="299" t="s">
        <v>111</v>
      </c>
    </row>
    <row r="70" spans="1:39" s="7" customFormat="1" ht="12.75" customHeight="1" x14ac:dyDescent="0.25">
      <c r="A70" s="310">
        <f t="shared" ref="A70" si="147">A66+1</f>
        <v>46039</v>
      </c>
      <c r="B70" s="323">
        <f t="shared" si="111"/>
        <v>46039</v>
      </c>
      <c r="C70" s="326" t="s">
        <v>23</v>
      </c>
      <c r="D70" s="68" t="s">
        <v>92</v>
      </c>
      <c r="E70" s="222">
        <v>1000</v>
      </c>
      <c r="F70" s="222">
        <v>945</v>
      </c>
      <c r="G70" s="224">
        <v>11</v>
      </c>
      <c r="H70" s="329">
        <v>660</v>
      </c>
      <c r="I70" s="329">
        <f t="shared" si="141"/>
        <v>30</v>
      </c>
      <c r="J70" s="331">
        <f t="shared" si="142"/>
        <v>639</v>
      </c>
      <c r="K70" s="308"/>
      <c r="L70" s="308"/>
      <c r="M70" s="308">
        <v>21</v>
      </c>
      <c r="N70" s="308"/>
      <c r="O70" s="308"/>
      <c r="P70" s="308"/>
      <c r="Q70" s="308"/>
      <c r="R70" s="308"/>
      <c r="S70" s="308"/>
      <c r="T70" s="308"/>
      <c r="U70" s="308"/>
      <c r="V70" s="308"/>
      <c r="W70" s="308"/>
      <c r="X70" s="308"/>
      <c r="Y70" s="308"/>
      <c r="Z70" s="308"/>
      <c r="AA70" s="308"/>
      <c r="AB70" s="308"/>
      <c r="AC70" s="308"/>
      <c r="AD70" s="308"/>
      <c r="AE70" s="308"/>
      <c r="AF70" s="308"/>
      <c r="AG70" s="308"/>
      <c r="AH70" s="333">
        <f t="shared" ref="AH70" si="148">SUM(K70:AG72)</f>
        <v>21</v>
      </c>
      <c r="AI70" s="306">
        <f t="shared" si="144"/>
        <v>0.96818181818181814</v>
      </c>
      <c r="AJ70" s="39">
        <f t="shared" ref="AJ70:AJ129" si="149">IFERROR(F70/E70,"0")</f>
        <v>0.94499999999999995</v>
      </c>
      <c r="AK70" s="306">
        <f t="shared" si="145"/>
        <v>0.9884937238493724</v>
      </c>
      <c r="AL70" s="306">
        <f t="shared" ref="AL70" si="150">IFERROR(AK70*(AJ70+AJ71+AJ72)*AI70,"0")</f>
        <v>2.7783296282512033</v>
      </c>
      <c r="AM70" s="335"/>
    </row>
    <row r="71" spans="1:39" s="7" customFormat="1" ht="12.75" customHeight="1" x14ac:dyDescent="0.25">
      <c r="A71" s="311"/>
      <c r="B71" s="324"/>
      <c r="C71" s="327"/>
      <c r="D71" s="71" t="s">
        <v>93</v>
      </c>
      <c r="E71" s="228">
        <v>1750</v>
      </c>
      <c r="F71" s="228">
        <v>1710</v>
      </c>
      <c r="G71" s="230">
        <v>0</v>
      </c>
      <c r="H71" s="330"/>
      <c r="I71" s="330"/>
      <c r="J71" s="332"/>
      <c r="K71" s="309"/>
      <c r="L71" s="309"/>
      <c r="M71" s="309"/>
      <c r="N71" s="309"/>
      <c r="O71" s="309"/>
      <c r="P71" s="309"/>
      <c r="Q71" s="309"/>
      <c r="R71" s="309"/>
      <c r="S71" s="309"/>
      <c r="T71" s="309"/>
      <c r="U71" s="309"/>
      <c r="V71" s="309"/>
      <c r="W71" s="309"/>
      <c r="X71" s="309"/>
      <c r="Y71" s="309"/>
      <c r="Z71" s="309"/>
      <c r="AA71" s="309"/>
      <c r="AB71" s="309"/>
      <c r="AC71" s="309"/>
      <c r="AD71" s="309"/>
      <c r="AE71" s="309"/>
      <c r="AF71" s="309"/>
      <c r="AG71" s="309"/>
      <c r="AH71" s="334"/>
      <c r="AI71" s="307"/>
      <c r="AJ71" s="6">
        <f t="shared" si="149"/>
        <v>0.97714285714285709</v>
      </c>
      <c r="AK71" s="307"/>
      <c r="AL71" s="307"/>
      <c r="AM71" s="336"/>
    </row>
    <row r="72" spans="1:39" s="7" customFormat="1" ht="12.75" customHeight="1" x14ac:dyDescent="0.25">
      <c r="A72" s="311"/>
      <c r="B72" s="324"/>
      <c r="C72" s="327"/>
      <c r="D72" s="71" t="s">
        <v>94</v>
      </c>
      <c r="E72" s="228">
        <v>14500</v>
      </c>
      <c r="F72" s="228">
        <v>14223</v>
      </c>
      <c r="G72" s="230">
        <v>21</v>
      </c>
      <c r="H72" s="330"/>
      <c r="I72" s="330"/>
      <c r="J72" s="332"/>
      <c r="K72" s="309"/>
      <c r="L72" s="309"/>
      <c r="M72" s="309"/>
      <c r="N72" s="309"/>
      <c r="O72" s="309"/>
      <c r="P72" s="309"/>
      <c r="Q72" s="309"/>
      <c r="R72" s="309"/>
      <c r="S72" s="309"/>
      <c r="T72" s="309"/>
      <c r="U72" s="309"/>
      <c r="V72" s="309"/>
      <c r="W72" s="309"/>
      <c r="X72" s="309"/>
      <c r="Y72" s="309"/>
      <c r="Z72" s="309"/>
      <c r="AA72" s="309"/>
      <c r="AB72" s="309"/>
      <c r="AC72" s="309"/>
      <c r="AD72" s="309"/>
      <c r="AE72" s="309"/>
      <c r="AF72" s="309"/>
      <c r="AG72" s="309"/>
      <c r="AH72" s="334"/>
      <c r="AI72" s="307"/>
      <c r="AJ72" s="6">
        <f t="shared" si="149"/>
        <v>0.98089655172413792</v>
      </c>
      <c r="AK72" s="307"/>
      <c r="AL72" s="307"/>
      <c r="AM72" s="336"/>
    </row>
    <row r="73" spans="1:39" s="7" customFormat="1" ht="15" thickBot="1" x14ac:dyDescent="0.25">
      <c r="A73" s="312"/>
      <c r="B73" s="325"/>
      <c r="C73" s="328"/>
      <c r="D73" s="72" t="s">
        <v>52</v>
      </c>
      <c r="E73" s="234">
        <v>2775</v>
      </c>
      <c r="F73" s="234">
        <v>1500</v>
      </c>
      <c r="G73" s="236">
        <v>0</v>
      </c>
      <c r="H73" s="237">
        <v>660</v>
      </c>
      <c r="I73" s="40">
        <f t="shared" ref="I73:I74" si="151">IF(E73&lt;&gt;"",30,0)</f>
        <v>30</v>
      </c>
      <c r="J73" s="56">
        <f t="shared" ref="J73:J74" si="152">H73-AH73</f>
        <v>357</v>
      </c>
      <c r="K73" s="238"/>
      <c r="L73" s="238"/>
      <c r="M73" s="238">
        <v>303</v>
      </c>
      <c r="N73" s="238"/>
      <c r="O73" s="238"/>
      <c r="P73" s="238"/>
      <c r="Q73" s="238"/>
      <c r="R73" s="238"/>
      <c r="S73" s="238"/>
      <c r="T73" s="238"/>
      <c r="U73" s="238"/>
      <c r="V73" s="238"/>
      <c r="W73" s="238"/>
      <c r="X73" s="238"/>
      <c r="Y73" s="238"/>
      <c r="Z73" s="238"/>
      <c r="AA73" s="238"/>
      <c r="AB73" s="238"/>
      <c r="AC73" s="238"/>
      <c r="AD73" s="238"/>
      <c r="AE73" s="238"/>
      <c r="AF73" s="238"/>
      <c r="AG73" s="238"/>
      <c r="AH73" s="57">
        <f t="shared" ref="AH73" si="153">SUM(K73:AG73)</f>
        <v>303</v>
      </c>
      <c r="AI73" s="41">
        <f t="shared" ref="AI73:AI74" si="154">IFERROR(J73/H73,"0")</f>
        <v>0.54090909090909089</v>
      </c>
      <c r="AJ73" s="41">
        <f t="shared" si="149"/>
        <v>0.54054054054054057</v>
      </c>
      <c r="AK73" s="41">
        <f t="shared" ref="AK73:AK74" si="155">IFERROR(F73/(F73+G73),"0")</f>
        <v>1</v>
      </c>
      <c r="AL73" s="41">
        <f t="shared" ref="AL73" si="156">IFERROR(AK73*AJ73*AI73,"0")</f>
        <v>0.29238329238329241</v>
      </c>
      <c r="AM73" s="299" t="s">
        <v>111</v>
      </c>
    </row>
    <row r="74" spans="1:39" s="7" customFormat="1" ht="12.75" customHeight="1" x14ac:dyDescent="0.25">
      <c r="A74" s="310">
        <f t="shared" ref="A74" si="157">A70+1</f>
        <v>46040</v>
      </c>
      <c r="B74" s="323">
        <f t="shared" si="111"/>
        <v>46040</v>
      </c>
      <c r="C74" s="326" t="s">
        <v>23</v>
      </c>
      <c r="D74" s="68" t="s">
        <v>92</v>
      </c>
      <c r="E74" s="222">
        <v>3000</v>
      </c>
      <c r="F74" s="222">
        <v>2937</v>
      </c>
      <c r="G74" s="224">
        <v>5</v>
      </c>
      <c r="H74" s="329">
        <v>660</v>
      </c>
      <c r="I74" s="329">
        <f t="shared" si="151"/>
        <v>30</v>
      </c>
      <c r="J74" s="331">
        <f t="shared" si="152"/>
        <v>640</v>
      </c>
      <c r="K74" s="308"/>
      <c r="L74" s="308"/>
      <c r="M74" s="308">
        <v>20</v>
      </c>
      <c r="N74" s="308"/>
      <c r="O74" s="308"/>
      <c r="P74" s="308"/>
      <c r="Q74" s="308"/>
      <c r="R74" s="308"/>
      <c r="S74" s="308"/>
      <c r="T74" s="308"/>
      <c r="U74" s="308"/>
      <c r="V74" s="308"/>
      <c r="W74" s="308"/>
      <c r="X74" s="308"/>
      <c r="Y74" s="308"/>
      <c r="Z74" s="308"/>
      <c r="AA74" s="308"/>
      <c r="AB74" s="308"/>
      <c r="AC74" s="308"/>
      <c r="AD74" s="308"/>
      <c r="AE74" s="308"/>
      <c r="AF74" s="308"/>
      <c r="AG74" s="308"/>
      <c r="AH74" s="333">
        <f t="shared" ref="AH74" si="158">SUM(K74:AG76)</f>
        <v>20</v>
      </c>
      <c r="AI74" s="306">
        <f t="shared" si="154"/>
        <v>0.96969696969696972</v>
      </c>
      <c r="AJ74" s="39">
        <f t="shared" si="149"/>
        <v>0.97899999999999998</v>
      </c>
      <c r="AK74" s="306">
        <f t="shared" si="155"/>
        <v>0.9983004758667573</v>
      </c>
      <c r="AL74" s="306">
        <f t="shared" ref="AL74" si="159">IFERROR(AK74*(AJ74+AJ75+AJ76)*AI74,"0")</f>
        <v>2.8168244237068163</v>
      </c>
      <c r="AM74" s="335"/>
    </row>
    <row r="75" spans="1:39" s="7" customFormat="1" ht="12.75" customHeight="1" x14ac:dyDescent="0.25">
      <c r="A75" s="311"/>
      <c r="B75" s="324"/>
      <c r="C75" s="327"/>
      <c r="D75" s="71" t="s">
        <v>93</v>
      </c>
      <c r="E75" s="228">
        <v>1100</v>
      </c>
      <c r="F75" s="228">
        <v>1050</v>
      </c>
      <c r="G75" s="230">
        <v>0</v>
      </c>
      <c r="H75" s="330"/>
      <c r="I75" s="330"/>
      <c r="J75" s="332"/>
      <c r="K75" s="309"/>
      <c r="L75" s="309"/>
      <c r="M75" s="309"/>
      <c r="N75" s="309"/>
      <c r="O75" s="309"/>
      <c r="P75" s="309"/>
      <c r="Q75" s="309"/>
      <c r="R75" s="309"/>
      <c r="S75" s="309"/>
      <c r="T75" s="309"/>
      <c r="U75" s="309"/>
      <c r="V75" s="309"/>
      <c r="W75" s="309"/>
      <c r="X75" s="309"/>
      <c r="Y75" s="309"/>
      <c r="Z75" s="309"/>
      <c r="AA75" s="309"/>
      <c r="AB75" s="309"/>
      <c r="AC75" s="309"/>
      <c r="AD75" s="309"/>
      <c r="AE75" s="309"/>
      <c r="AF75" s="309"/>
      <c r="AG75" s="309"/>
      <c r="AH75" s="334"/>
      <c r="AI75" s="307"/>
      <c r="AJ75" s="6">
        <f t="shared" si="149"/>
        <v>0.95454545454545459</v>
      </c>
      <c r="AK75" s="307"/>
      <c r="AL75" s="307"/>
      <c r="AM75" s="336"/>
    </row>
    <row r="76" spans="1:39" s="7" customFormat="1" ht="12.75" customHeight="1" x14ac:dyDescent="0.25">
      <c r="A76" s="311"/>
      <c r="B76" s="324"/>
      <c r="C76" s="327"/>
      <c r="D76" s="71" t="s">
        <v>94</v>
      </c>
      <c r="E76" s="228">
        <v>1600</v>
      </c>
      <c r="F76" s="228">
        <v>1562</v>
      </c>
      <c r="G76" s="230">
        <v>5</v>
      </c>
      <c r="H76" s="330"/>
      <c r="I76" s="330"/>
      <c r="J76" s="332"/>
      <c r="K76" s="309"/>
      <c r="L76" s="309"/>
      <c r="M76" s="309"/>
      <c r="N76" s="309"/>
      <c r="O76" s="309"/>
      <c r="P76" s="309"/>
      <c r="Q76" s="309"/>
      <c r="R76" s="309"/>
      <c r="S76" s="309"/>
      <c r="T76" s="309"/>
      <c r="U76" s="309"/>
      <c r="V76" s="309"/>
      <c r="W76" s="309"/>
      <c r="X76" s="309"/>
      <c r="Y76" s="309"/>
      <c r="Z76" s="309"/>
      <c r="AA76" s="309"/>
      <c r="AB76" s="309"/>
      <c r="AC76" s="309"/>
      <c r="AD76" s="309"/>
      <c r="AE76" s="309"/>
      <c r="AF76" s="309"/>
      <c r="AG76" s="309"/>
      <c r="AH76" s="334"/>
      <c r="AI76" s="307"/>
      <c r="AJ76" s="6">
        <f t="shared" si="149"/>
        <v>0.97624999999999995</v>
      </c>
      <c r="AK76" s="307"/>
      <c r="AL76" s="307"/>
      <c r="AM76" s="336"/>
    </row>
    <row r="77" spans="1:39" s="7" customFormat="1" ht="15" thickBot="1" x14ac:dyDescent="0.25">
      <c r="A77" s="312"/>
      <c r="B77" s="325"/>
      <c r="C77" s="328"/>
      <c r="D77" s="72" t="s">
        <v>52</v>
      </c>
      <c r="E77" s="234">
        <v>2775</v>
      </c>
      <c r="F77" s="234">
        <v>1633</v>
      </c>
      <c r="G77" s="236">
        <v>0</v>
      </c>
      <c r="H77" s="237">
        <v>660</v>
      </c>
      <c r="I77" s="40">
        <f t="shared" ref="I77:I78" si="160">IF(E77&lt;&gt;"",30,0)</f>
        <v>30</v>
      </c>
      <c r="J77" s="56">
        <f t="shared" ref="J77:J78" si="161">H77-AH77</f>
        <v>388</v>
      </c>
      <c r="K77" s="238"/>
      <c r="L77" s="238"/>
      <c r="M77" s="238">
        <v>272</v>
      </c>
      <c r="N77" s="238"/>
      <c r="O77" s="238"/>
      <c r="P77" s="238"/>
      <c r="Q77" s="238"/>
      <c r="R77" s="238"/>
      <c r="S77" s="238"/>
      <c r="T77" s="238"/>
      <c r="U77" s="238"/>
      <c r="V77" s="238"/>
      <c r="W77" s="238"/>
      <c r="X77" s="238"/>
      <c r="Y77" s="238"/>
      <c r="Z77" s="238"/>
      <c r="AA77" s="238"/>
      <c r="AB77" s="238"/>
      <c r="AC77" s="238"/>
      <c r="AD77" s="238"/>
      <c r="AE77" s="238"/>
      <c r="AF77" s="238"/>
      <c r="AG77" s="238"/>
      <c r="AH77" s="57">
        <f t="shared" ref="AH77" si="162">SUM(K77:AG77)</f>
        <v>272</v>
      </c>
      <c r="AI77" s="41">
        <f t="shared" ref="AI77:AI78" si="163">IFERROR(J77/H77,"0")</f>
        <v>0.58787878787878789</v>
      </c>
      <c r="AJ77" s="41">
        <f t="shared" si="149"/>
        <v>0.58846846846846845</v>
      </c>
      <c r="AK77" s="41">
        <f t="shared" ref="AK77:AK78" si="164">IFERROR(F77/(F77+G77),"0")</f>
        <v>1</v>
      </c>
      <c r="AL77" s="41">
        <f t="shared" ref="AL77" si="165">IFERROR(AK77*AJ77*AI77,"0")</f>
        <v>0.34594812994812996</v>
      </c>
      <c r="AM77" s="299" t="s">
        <v>111</v>
      </c>
    </row>
    <row r="78" spans="1:39" s="7" customFormat="1" ht="12.75" customHeight="1" x14ac:dyDescent="0.25">
      <c r="A78" s="310">
        <f t="shared" ref="A78" si="166">A74+1</f>
        <v>46041</v>
      </c>
      <c r="B78" s="323">
        <f t="shared" si="111"/>
        <v>46041</v>
      </c>
      <c r="C78" s="326" t="s">
        <v>23</v>
      </c>
      <c r="D78" s="68" t="s">
        <v>92</v>
      </c>
      <c r="E78" s="222">
        <v>2700</v>
      </c>
      <c r="F78" s="222">
        <v>2662</v>
      </c>
      <c r="G78" s="224">
        <v>8</v>
      </c>
      <c r="H78" s="329">
        <v>660</v>
      </c>
      <c r="I78" s="329">
        <f t="shared" si="160"/>
        <v>30</v>
      </c>
      <c r="J78" s="331">
        <f t="shared" si="161"/>
        <v>638</v>
      </c>
      <c r="K78" s="308"/>
      <c r="L78" s="308"/>
      <c r="M78" s="308">
        <v>22</v>
      </c>
      <c r="N78" s="308"/>
      <c r="O78" s="308"/>
      <c r="P78" s="308"/>
      <c r="Q78" s="308"/>
      <c r="R78" s="308"/>
      <c r="S78" s="308"/>
      <c r="T78" s="308"/>
      <c r="U78" s="308"/>
      <c r="V78" s="308"/>
      <c r="W78" s="308"/>
      <c r="X78" s="308"/>
      <c r="Y78" s="308"/>
      <c r="Z78" s="308"/>
      <c r="AA78" s="308"/>
      <c r="AB78" s="308"/>
      <c r="AC78" s="308"/>
      <c r="AD78" s="308"/>
      <c r="AE78" s="308"/>
      <c r="AF78" s="308"/>
      <c r="AG78" s="308"/>
      <c r="AH78" s="333">
        <f t="shared" ref="AH78" si="167">SUM(K78:AG80)</f>
        <v>22</v>
      </c>
      <c r="AI78" s="306">
        <f t="shared" si="163"/>
        <v>0.96666666666666667</v>
      </c>
      <c r="AJ78" s="39">
        <f t="shared" si="149"/>
        <v>0.98592592592592587</v>
      </c>
      <c r="AK78" s="306">
        <f t="shared" si="164"/>
        <v>0.99700374531835201</v>
      </c>
      <c r="AL78" s="306">
        <f t="shared" ref="AL78" si="168">IFERROR(AK78*(AJ78+AJ79+AJ80)*AI78,"0")</f>
        <v>2.7925218573344166</v>
      </c>
      <c r="AM78" s="335"/>
    </row>
    <row r="79" spans="1:39" s="7" customFormat="1" ht="12.75" customHeight="1" x14ac:dyDescent="0.25">
      <c r="A79" s="311"/>
      <c r="B79" s="324"/>
      <c r="C79" s="327"/>
      <c r="D79" s="71" t="s">
        <v>93</v>
      </c>
      <c r="E79" s="228">
        <v>1200</v>
      </c>
      <c r="F79" s="228">
        <v>1110</v>
      </c>
      <c r="G79" s="230">
        <v>0</v>
      </c>
      <c r="H79" s="330"/>
      <c r="I79" s="330"/>
      <c r="J79" s="332"/>
      <c r="K79" s="309"/>
      <c r="L79" s="309"/>
      <c r="M79" s="309"/>
      <c r="N79" s="309"/>
      <c r="O79" s="309"/>
      <c r="P79" s="309"/>
      <c r="Q79" s="309"/>
      <c r="R79" s="309"/>
      <c r="S79" s="309"/>
      <c r="T79" s="309"/>
      <c r="U79" s="309"/>
      <c r="V79" s="309"/>
      <c r="W79" s="309"/>
      <c r="X79" s="309"/>
      <c r="Y79" s="309"/>
      <c r="Z79" s="309"/>
      <c r="AA79" s="309"/>
      <c r="AB79" s="309"/>
      <c r="AC79" s="309"/>
      <c r="AD79" s="309"/>
      <c r="AE79" s="309"/>
      <c r="AF79" s="309"/>
      <c r="AG79" s="309"/>
      <c r="AH79" s="334"/>
      <c r="AI79" s="307"/>
      <c r="AJ79" s="6">
        <f t="shared" si="149"/>
        <v>0.92500000000000004</v>
      </c>
      <c r="AK79" s="307"/>
      <c r="AL79" s="307"/>
      <c r="AM79" s="336"/>
    </row>
    <row r="80" spans="1:39" s="7" customFormat="1" ht="12.75" customHeight="1" x14ac:dyDescent="0.25">
      <c r="A80" s="311"/>
      <c r="B80" s="324"/>
      <c r="C80" s="327"/>
      <c r="D80" s="71" t="s">
        <v>94</v>
      </c>
      <c r="E80" s="228">
        <v>3500</v>
      </c>
      <c r="F80" s="228">
        <v>3453</v>
      </c>
      <c r="G80" s="230">
        <v>3</v>
      </c>
      <c r="H80" s="330"/>
      <c r="I80" s="330"/>
      <c r="J80" s="332"/>
      <c r="K80" s="309"/>
      <c r="L80" s="309"/>
      <c r="M80" s="309"/>
      <c r="N80" s="309"/>
      <c r="O80" s="309"/>
      <c r="P80" s="309"/>
      <c r="Q80" s="309"/>
      <c r="R80" s="309"/>
      <c r="S80" s="309"/>
      <c r="T80" s="309"/>
      <c r="U80" s="309"/>
      <c r="V80" s="309"/>
      <c r="W80" s="309"/>
      <c r="X80" s="309"/>
      <c r="Y80" s="309"/>
      <c r="Z80" s="309"/>
      <c r="AA80" s="309"/>
      <c r="AB80" s="309"/>
      <c r="AC80" s="309"/>
      <c r="AD80" s="309"/>
      <c r="AE80" s="309"/>
      <c r="AF80" s="309"/>
      <c r="AG80" s="309"/>
      <c r="AH80" s="334"/>
      <c r="AI80" s="307"/>
      <c r="AJ80" s="6">
        <f t="shared" si="149"/>
        <v>0.98657142857142854</v>
      </c>
      <c r="AK80" s="307"/>
      <c r="AL80" s="307"/>
      <c r="AM80" s="336"/>
    </row>
    <row r="81" spans="1:39" s="7" customFormat="1" ht="15" thickBot="1" x14ac:dyDescent="0.25">
      <c r="A81" s="312"/>
      <c r="B81" s="325"/>
      <c r="C81" s="328"/>
      <c r="D81" s="72" t="s">
        <v>52</v>
      </c>
      <c r="E81" s="234">
        <v>2775</v>
      </c>
      <c r="F81" s="234">
        <v>1766</v>
      </c>
      <c r="G81" s="236">
        <v>0</v>
      </c>
      <c r="H81" s="237">
        <v>660</v>
      </c>
      <c r="I81" s="40">
        <f t="shared" ref="I81:I82" si="169">IF(E81&lt;&gt;"",30,0)</f>
        <v>30</v>
      </c>
      <c r="J81" s="56">
        <f t="shared" ref="J81:J82" si="170">H81-AH81</f>
        <v>420</v>
      </c>
      <c r="K81" s="238"/>
      <c r="L81" s="238"/>
      <c r="M81" s="238">
        <v>240</v>
      </c>
      <c r="N81" s="238"/>
      <c r="O81" s="238"/>
      <c r="P81" s="238"/>
      <c r="Q81" s="238"/>
      <c r="R81" s="238"/>
      <c r="S81" s="238"/>
      <c r="T81" s="238"/>
      <c r="U81" s="238"/>
      <c r="V81" s="238"/>
      <c r="W81" s="238"/>
      <c r="X81" s="238"/>
      <c r="Y81" s="238"/>
      <c r="Z81" s="238"/>
      <c r="AA81" s="238"/>
      <c r="AB81" s="238"/>
      <c r="AC81" s="238"/>
      <c r="AD81" s="238"/>
      <c r="AE81" s="238"/>
      <c r="AF81" s="238"/>
      <c r="AG81" s="238"/>
      <c r="AH81" s="57">
        <f t="shared" ref="AH81" si="171">SUM(K81:AG81)</f>
        <v>240</v>
      </c>
      <c r="AI81" s="41">
        <f t="shared" ref="AI81:AI82" si="172">IFERROR(J81/H81,"0")</f>
        <v>0.63636363636363635</v>
      </c>
      <c r="AJ81" s="41">
        <f t="shared" si="149"/>
        <v>0.63639639639639645</v>
      </c>
      <c r="AK81" s="41">
        <f t="shared" ref="AK81:AK82" si="173">IFERROR(F81/(F81+G81),"0")</f>
        <v>1</v>
      </c>
      <c r="AL81" s="41">
        <f t="shared" ref="AL81" si="174">IFERROR(AK81*AJ81*AI81,"0")</f>
        <v>0.404979524979525</v>
      </c>
      <c r="AM81" s="299"/>
    </row>
    <row r="82" spans="1:39" s="7" customFormat="1" ht="12.75" customHeight="1" x14ac:dyDescent="0.25">
      <c r="A82" s="310">
        <f t="shared" ref="A82" si="175">A78+1</f>
        <v>46042</v>
      </c>
      <c r="B82" s="323">
        <f t="shared" si="111"/>
        <v>46042</v>
      </c>
      <c r="C82" s="326" t="s">
        <v>23</v>
      </c>
      <c r="D82" s="68" t="s">
        <v>92</v>
      </c>
      <c r="E82" s="222">
        <v>2550</v>
      </c>
      <c r="F82" s="222">
        <v>2509</v>
      </c>
      <c r="G82" s="224">
        <v>2</v>
      </c>
      <c r="H82" s="329">
        <v>660</v>
      </c>
      <c r="I82" s="329">
        <f t="shared" si="169"/>
        <v>30</v>
      </c>
      <c r="J82" s="331">
        <f t="shared" si="170"/>
        <v>575</v>
      </c>
      <c r="K82" s="308">
        <v>60</v>
      </c>
      <c r="L82" s="308"/>
      <c r="M82" s="308">
        <v>25</v>
      </c>
      <c r="N82" s="308"/>
      <c r="O82" s="308"/>
      <c r="P82" s="308"/>
      <c r="Q82" s="308"/>
      <c r="R82" s="308"/>
      <c r="S82" s="308"/>
      <c r="T82" s="308"/>
      <c r="U82" s="308"/>
      <c r="V82" s="308"/>
      <c r="W82" s="308"/>
      <c r="X82" s="308"/>
      <c r="Y82" s="308"/>
      <c r="Z82" s="308"/>
      <c r="AA82" s="308"/>
      <c r="AB82" s="308"/>
      <c r="AC82" s="308"/>
      <c r="AD82" s="308"/>
      <c r="AE82" s="308"/>
      <c r="AF82" s="308"/>
      <c r="AG82" s="308"/>
      <c r="AH82" s="333">
        <f t="shared" ref="AH82" si="176">SUM(K82:AG84)</f>
        <v>85</v>
      </c>
      <c r="AI82" s="306">
        <f t="shared" si="172"/>
        <v>0.87121212121212122</v>
      </c>
      <c r="AJ82" s="39">
        <f t="shared" si="149"/>
        <v>0.98392156862745095</v>
      </c>
      <c r="AK82" s="306">
        <f t="shared" si="173"/>
        <v>0.99920350457984863</v>
      </c>
      <c r="AL82" s="306">
        <f t="shared" ref="AL82" si="177">IFERROR(AK82*(AJ82+AJ83+AJ84)*AI82,"0")</f>
        <v>2.2739574130510247</v>
      </c>
      <c r="AM82" s="335"/>
    </row>
    <row r="83" spans="1:39" s="7" customFormat="1" ht="12.75" customHeight="1" x14ac:dyDescent="0.25">
      <c r="A83" s="311"/>
      <c r="B83" s="324"/>
      <c r="C83" s="327"/>
      <c r="D83" s="71" t="s">
        <v>93</v>
      </c>
      <c r="E83" s="228">
        <v>1500</v>
      </c>
      <c r="F83" s="228">
        <v>1150</v>
      </c>
      <c r="G83" s="230">
        <v>0</v>
      </c>
      <c r="H83" s="330"/>
      <c r="I83" s="330"/>
      <c r="J83" s="332"/>
      <c r="K83" s="309"/>
      <c r="L83" s="309"/>
      <c r="M83" s="309"/>
      <c r="N83" s="309"/>
      <c r="O83" s="309"/>
      <c r="P83" s="309"/>
      <c r="Q83" s="309"/>
      <c r="R83" s="309"/>
      <c r="S83" s="309"/>
      <c r="T83" s="309"/>
      <c r="U83" s="309"/>
      <c r="V83" s="309"/>
      <c r="W83" s="309"/>
      <c r="X83" s="309"/>
      <c r="Y83" s="309"/>
      <c r="Z83" s="309"/>
      <c r="AA83" s="309"/>
      <c r="AB83" s="309"/>
      <c r="AC83" s="309"/>
      <c r="AD83" s="309"/>
      <c r="AE83" s="309"/>
      <c r="AF83" s="309"/>
      <c r="AG83" s="309"/>
      <c r="AH83" s="334"/>
      <c r="AI83" s="307"/>
      <c r="AJ83" s="6">
        <f t="shared" si="149"/>
        <v>0.76666666666666672</v>
      </c>
      <c r="AK83" s="307"/>
      <c r="AL83" s="307"/>
      <c r="AM83" s="336"/>
    </row>
    <row r="84" spans="1:39" s="7" customFormat="1" ht="12.75" customHeight="1" x14ac:dyDescent="0.25">
      <c r="A84" s="311"/>
      <c r="B84" s="324"/>
      <c r="C84" s="327"/>
      <c r="D84" s="71" t="s">
        <v>94</v>
      </c>
      <c r="E84" s="228">
        <v>5000</v>
      </c>
      <c r="F84" s="228">
        <v>4308</v>
      </c>
      <c r="G84" s="230">
        <v>36</v>
      </c>
      <c r="H84" s="330"/>
      <c r="I84" s="330"/>
      <c r="J84" s="332"/>
      <c r="K84" s="309"/>
      <c r="L84" s="309"/>
      <c r="M84" s="309"/>
      <c r="N84" s="309"/>
      <c r="O84" s="309"/>
      <c r="P84" s="309"/>
      <c r="Q84" s="309"/>
      <c r="R84" s="309"/>
      <c r="S84" s="309"/>
      <c r="T84" s="309"/>
      <c r="U84" s="309"/>
      <c r="V84" s="309"/>
      <c r="W84" s="309"/>
      <c r="X84" s="309"/>
      <c r="Y84" s="309"/>
      <c r="Z84" s="309"/>
      <c r="AA84" s="309"/>
      <c r="AB84" s="309"/>
      <c r="AC84" s="309"/>
      <c r="AD84" s="309"/>
      <c r="AE84" s="309"/>
      <c r="AF84" s="309"/>
      <c r="AG84" s="309"/>
      <c r="AH84" s="334"/>
      <c r="AI84" s="307"/>
      <c r="AJ84" s="6">
        <f t="shared" si="149"/>
        <v>0.86160000000000003</v>
      </c>
      <c r="AK84" s="307"/>
      <c r="AL84" s="307"/>
      <c r="AM84" s="336"/>
    </row>
    <row r="85" spans="1:39" s="7" customFormat="1" ht="15" thickBot="1" x14ac:dyDescent="0.25">
      <c r="A85" s="312"/>
      <c r="B85" s="325"/>
      <c r="C85" s="328"/>
      <c r="D85" s="72" t="s">
        <v>52</v>
      </c>
      <c r="E85" s="234">
        <v>2775</v>
      </c>
      <c r="F85" s="234">
        <v>1733</v>
      </c>
      <c r="G85" s="236">
        <v>0</v>
      </c>
      <c r="H85" s="237">
        <v>660</v>
      </c>
      <c r="I85" s="40">
        <f t="shared" ref="I85:I86" si="178">IF(E85&lt;&gt;"",30,0)</f>
        <v>30</v>
      </c>
      <c r="J85" s="56">
        <f t="shared" ref="J85:J86" si="179">H85-AH85</f>
        <v>412</v>
      </c>
      <c r="K85" s="238"/>
      <c r="L85" s="238"/>
      <c r="M85" s="238">
        <v>218</v>
      </c>
      <c r="N85" s="238"/>
      <c r="O85" s="238"/>
      <c r="P85" s="238"/>
      <c r="Q85" s="238"/>
      <c r="R85" s="238"/>
      <c r="S85" s="238"/>
      <c r="T85" s="238"/>
      <c r="U85" s="238"/>
      <c r="V85" s="238"/>
      <c r="W85" s="238"/>
      <c r="X85" s="238"/>
      <c r="Y85" s="238"/>
      <c r="Z85" s="238">
        <v>30</v>
      </c>
      <c r="AA85" s="238"/>
      <c r="AB85" s="238"/>
      <c r="AC85" s="238"/>
      <c r="AD85" s="238"/>
      <c r="AE85" s="238"/>
      <c r="AF85" s="238"/>
      <c r="AG85" s="238"/>
      <c r="AH85" s="57">
        <f t="shared" ref="AH85" si="180">SUM(K85:AG85)</f>
        <v>248</v>
      </c>
      <c r="AI85" s="41">
        <f t="shared" ref="AI85:AI86" si="181">IFERROR(J85/H85,"0")</f>
        <v>0.62424242424242427</v>
      </c>
      <c r="AJ85" s="41">
        <f t="shared" si="149"/>
        <v>0.62450450450450445</v>
      </c>
      <c r="AK85" s="41">
        <f t="shared" ref="AK85:AK86" si="182">IFERROR(F85/(F85+G85),"0")</f>
        <v>1</v>
      </c>
      <c r="AL85" s="41">
        <f t="shared" ref="AL85" si="183">IFERROR(AK85*AJ85*AI85,"0")</f>
        <v>0.3898422058422058</v>
      </c>
      <c r="AM85" s="299" t="s">
        <v>111</v>
      </c>
    </row>
    <row r="86" spans="1:39" s="7" customFormat="1" ht="12.75" customHeight="1" x14ac:dyDescent="0.25">
      <c r="A86" s="310">
        <f t="shared" ref="A86" si="184">A82+1</f>
        <v>46043</v>
      </c>
      <c r="B86" s="323">
        <f t="shared" si="111"/>
        <v>46043</v>
      </c>
      <c r="C86" s="326" t="s">
        <v>23</v>
      </c>
      <c r="D86" s="68" t="s">
        <v>92</v>
      </c>
      <c r="E86" s="222">
        <v>2500</v>
      </c>
      <c r="F86" s="222">
        <v>1799</v>
      </c>
      <c r="G86" s="224">
        <v>3</v>
      </c>
      <c r="H86" s="329">
        <v>660</v>
      </c>
      <c r="I86" s="329">
        <f t="shared" si="178"/>
        <v>30</v>
      </c>
      <c r="J86" s="331">
        <f t="shared" si="179"/>
        <v>575</v>
      </c>
      <c r="K86" s="308">
        <v>40</v>
      </c>
      <c r="L86" s="308"/>
      <c r="M86" s="308">
        <v>45</v>
      </c>
      <c r="N86" s="308"/>
      <c r="O86" s="308"/>
      <c r="P86" s="308"/>
      <c r="Q86" s="308"/>
      <c r="R86" s="308"/>
      <c r="S86" s="308"/>
      <c r="T86" s="308"/>
      <c r="U86" s="308"/>
      <c r="V86" s="308"/>
      <c r="W86" s="308"/>
      <c r="X86" s="308"/>
      <c r="Y86" s="308"/>
      <c r="Z86" s="308"/>
      <c r="AA86" s="308"/>
      <c r="AB86" s="308"/>
      <c r="AC86" s="308"/>
      <c r="AD86" s="308"/>
      <c r="AE86" s="308"/>
      <c r="AF86" s="308"/>
      <c r="AG86" s="308"/>
      <c r="AH86" s="333">
        <f t="shared" ref="AH86" si="185">SUM(K86:AG88)</f>
        <v>85</v>
      </c>
      <c r="AI86" s="306">
        <f t="shared" si="181"/>
        <v>0.87121212121212122</v>
      </c>
      <c r="AJ86" s="39">
        <f t="shared" si="149"/>
        <v>0.71960000000000002</v>
      </c>
      <c r="AK86" s="306">
        <f t="shared" si="182"/>
        <v>0.9983351831298557</v>
      </c>
      <c r="AL86" s="306">
        <f t="shared" ref="AL86" si="186">IFERROR(AK86*(AJ86+AJ87+AJ88)*AI86,"0")</f>
        <v>2.2718039685639959</v>
      </c>
      <c r="AM86" s="335" t="s">
        <v>112</v>
      </c>
    </row>
    <row r="87" spans="1:39" s="7" customFormat="1" ht="12.75" customHeight="1" x14ac:dyDescent="0.25">
      <c r="A87" s="311"/>
      <c r="B87" s="324"/>
      <c r="C87" s="327"/>
      <c r="D87" s="71" t="s">
        <v>93</v>
      </c>
      <c r="E87" s="228">
        <v>3050</v>
      </c>
      <c r="F87" s="228">
        <v>3000</v>
      </c>
      <c r="G87" s="230">
        <v>0</v>
      </c>
      <c r="H87" s="330"/>
      <c r="I87" s="330"/>
      <c r="J87" s="332"/>
      <c r="K87" s="309"/>
      <c r="L87" s="309"/>
      <c r="M87" s="309"/>
      <c r="N87" s="309"/>
      <c r="O87" s="309"/>
      <c r="P87" s="309"/>
      <c r="Q87" s="309"/>
      <c r="R87" s="309"/>
      <c r="S87" s="309"/>
      <c r="T87" s="309"/>
      <c r="U87" s="309"/>
      <c r="V87" s="309"/>
      <c r="W87" s="309"/>
      <c r="X87" s="309"/>
      <c r="Y87" s="309"/>
      <c r="Z87" s="309"/>
      <c r="AA87" s="309"/>
      <c r="AB87" s="309"/>
      <c r="AC87" s="309"/>
      <c r="AD87" s="309"/>
      <c r="AE87" s="309"/>
      <c r="AF87" s="309"/>
      <c r="AG87" s="309"/>
      <c r="AH87" s="334"/>
      <c r="AI87" s="307"/>
      <c r="AJ87" s="6">
        <f t="shared" si="149"/>
        <v>0.98360655737704916</v>
      </c>
      <c r="AK87" s="307"/>
      <c r="AL87" s="307"/>
      <c r="AM87" s="336"/>
    </row>
    <row r="88" spans="1:39" s="7" customFormat="1" ht="12.75" customHeight="1" x14ac:dyDescent="0.25">
      <c r="A88" s="311"/>
      <c r="B88" s="324"/>
      <c r="C88" s="327"/>
      <c r="D88" s="71" t="s">
        <v>94</v>
      </c>
      <c r="E88" s="228">
        <v>9000</v>
      </c>
      <c r="F88" s="228">
        <v>8179</v>
      </c>
      <c r="G88" s="230">
        <v>14</v>
      </c>
      <c r="H88" s="330"/>
      <c r="I88" s="330"/>
      <c r="J88" s="332"/>
      <c r="K88" s="309"/>
      <c r="L88" s="309"/>
      <c r="M88" s="309"/>
      <c r="N88" s="309"/>
      <c r="O88" s="309"/>
      <c r="P88" s="309"/>
      <c r="Q88" s="309"/>
      <c r="R88" s="309"/>
      <c r="S88" s="309"/>
      <c r="T88" s="309"/>
      <c r="U88" s="309"/>
      <c r="V88" s="309"/>
      <c r="W88" s="309"/>
      <c r="X88" s="309"/>
      <c r="Y88" s="309"/>
      <c r="Z88" s="309"/>
      <c r="AA88" s="309"/>
      <c r="AB88" s="309"/>
      <c r="AC88" s="309"/>
      <c r="AD88" s="309"/>
      <c r="AE88" s="309"/>
      <c r="AF88" s="309"/>
      <c r="AG88" s="309"/>
      <c r="AH88" s="334"/>
      <c r="AI88" s="307"/>
      <c r="AJ88" s="6">
        <f t="shared" si="149"/>
        <v>0.9087777777777778</v>
      </c>
      <c r="AK88" s="307"/>
      <c r="AL88" s="307"/>
      <c r="AM88" s="336"/>
    </row>
    <row r="89" spans="1:39" s="7" customFormat="1" ht="15" thickBot="1" x14ac:dyDescent="0.25">
      <c r="A89" s="312"/>
      <c r="B89" s="325"/>
      <c r="C89" s="328"/>
      <c r="D89" s="72" t="s">
        <v>52</v>
      </c>
      <c r="E89" s="234">
        <v>2775</v>
      </c>
      <c r="F89" s="234">
        <v>1900</v>
      </c>
      <c r="G89" s="236">
        <v>0</v>
      </c>
      <c r="H89" s="237">
        <v>660</v>
      </c>
      <c r="I89" s="40">
        <f t="shared" ref="I89:I90" si="187">IF(E89&lt;&gt;"",30,0)</f>
        <v>30</v>
      </c>
      <c r="J89" s="56">
        <f t="shared" ref="J89:J90" si="188">H89-AH89</f>
        <v>660</v>
      </c>
      <c r="K89" s="238"/>
      <c r="L89" s="238"/>
      <c r="M89" s="238"/>
      <c r="N89" s="238"/>
      <c r="O89" s="238"/>
      <c r="P89" s="238"/>
      <c r="Q89" s="238"/>
      <c r="R89" s="238"/>
      <c r="S89" s="238"/>
      <c r="T89" s="238"/>
      <c r="U89" s="238"/>
      <c r="V89" s="238"/>
      <c r="W89" s="238"/>
      <c r="X89" s="238"/>
      <c r="Y89" s="238"/>
      <c r="Z89" s="238"/>
      <c r="AA89" s="238"/>
      <c r="AB89" s="238"/>
      <c r="AC89" s="238"/>
      <c r="AD89" s="238"/>
      <c r="AE89" s="238"/>
      <c r="AF89" s="238"/>
      <c r="AG89" s="238"/>
      <c r="AH89" s="57">
        <f t="shared" ref="AH89" si="189">SUM(K89:AG89)</f>
        <v>0</v>
      </c>
      <c r="AI89" s="41">
        <f t="shared" ref="AI89:AI90" si="190">IFERROR(J89/H89,"0")</f>
        <v>1</v>
      </c>
      <c r="AJ89" s="41">
        <f t="shared" si="149"/>
        <v>0.68468468468468469</v>
      </c>
      <c r="AK89" s="41">
        <f t="shared" ref="AK89:AK90" si="191">IFERROR(F89/(F89+G89),"0")</f>
        <v>1</v>
      </c>
      <c r="AL89" s="41">
        <f t="shared" ref="AL89" si="192">IFERROR(AK89*AJ89*AI89,"0")</f>
        <v>0.68468468468468469</v>
      </c>
      <c r="AM89" s="299" t="s">
        <v>111</v>
      </c>
    </row>
    <row r="90" spans="1:39" s="7" customFormat="1" ht="12.75" customHeight="1" x14ac:dyDescent="0.25">
      <c r="A90" s="310">
        <f t="shared" ref="A90" si="193">A86+1</f>
        <v>46044</v>
      </c>
      <c r="B90" s="323">
        <f t="shared" si="111"/>
        <v>46044</v>
      </c>
      <c r="C90" s="326" t="s">
        <v>23</v>
      </c>
      <c r="D90" s="68" t="s">
        <v>92</v>
      </c>
      <c r="E90" s="222">
        <v>2500</v>
      </c>
      <c r="F90" s="222">
        <v>0</v>
      </c>
      <c r="G90" s="224">
        <v>0</v>
      </c>
      <c r="H90" s="329">
        <v>660</v>
      </c>
      <c r="I90" s="329">
        <f t="shared" si="187"/>
        <v>30</v>
      </c>
      <c r="J90" s="331">
        <f t="shared" si="188"/>
        <v>0</v>
      </c>
      <c r="K90" s="308"/>
      <c r="L90" s="308"/>
      <c r="M90" s="308">
        <v>660</v>
      </c>
      <c r="N90" s="308"/>
      <c r="O90" s="308"/>
      <c r="P90" s="308"/>
      <c r="Q90" s="308"/>
      <c r="R90" s="308"/>
      <c r="S90" s="308"/>
      <c r="T90" s="308"/>
      <c r="U90" s="308"/>
      <c r="V90" s="308"/>
      <c r="W90" s="308"/>
      <c r="X90" s="308"/>
      <c r="Y90" s="308"/>
      <c r="Z90" s="308"/>
      <c r="AA90" s="308"/>
      <c r="AB90" s="308"/>
      <c r="AC90" s="308"/>
      <c r="AD90" s="308"/>
      <c r="AE90" s="308"/>
      <c r="AF90" s="308"/>
      <c r="AG90" s="308"/>
      <c r="AH90" s="333">
        <f t="shared" ref="AH90" si="194">SUM(K90:AG92)</f>
        <v>660</v>
      </c>
      <c r="AI90" s="306">
        <f t="shared" si="190"/>
        <v>0</v>
      </c>
      <c r="AJ90" s="39">
        <f t="shared" si="149"/>
        <v>0</v>
      </c>
      <c r="AK90" s="306" t="str">
        <f t="shared" si="191"/>
        <v>0</v>
      </c>
      <c r="AL90" s="306">
        <f t="shared" ref="AL90" si="195">IFERROR(AK90*(AJ90+AJ91+AJ92)*AI90,"0")</f>
        <v>0</v>
      </c>
      <c r="AM90" s="335" t="s">
        <v>113</v>
      </c>
    </row>
    <row r="91" spans="1:39" s="7" customFormat="1" ht="12.75" customHeight="1" x14ac:dyDescent="0.25">
      <c r="A91" s="311"/>
      <c r="B91" s="324"/>
      <c r="C91" s="327"/>
      <c r="D91" s="71" t="s">
        <v>93</v>
      </c>
      <c r="E91" s="228">
        <v>2500</v>
      </c>
      <c r="F91" s="228">
        <v>0</v>
      </c>
      <c r="G91" s="230">
        <v>0</v>
      </c>
      <c r="H91" s="330"/>
      <c r="I91" s="330"/>
      <c r="J91" s="332"/>
      <c r="K91" s="309"/>
      <c r="L91" s="309"/>
      <c r="M91" s="309"/>
      <c r="N91" s="309"/>
      <c r="O91" s="309"/>
      <c r="P91" s="309"/>
      <c r="Q91" s="309"/>
      <c r="R91" s="309"/>
      <c r="S91" s="309"/>
      <c r="T91" s="309"/>
      <c r="U91" s="309"/>
      <c r="V91" s="309"/>
      <c r="W91" s="309"/>
      <c r="X91" s="309"/>
      <c r="Y91" s="309"/>
      <c r="Z91" s="309"/>
      <c r="AA91" s="309"/>
      <c r="AB91" s="309"/>
      <c r="AC91" s="309"/>
      <c r="AD91" s="309"/>
      <c r="AE91" s="309"/>
      <c r="AF91" s="309"/>
      <c r="AG91" s="309"/>
      <c r="AH91" s="334"/>
      <c r="AI91" s="307"/>
      <c r="AJ91" s="6">
        <f t="shared" si="149"/>
        <v>0</v>
      </c>
      <c r="AK91" s="307"/>
      <c r="AL91" s="307"/>
      <c r="AM91" s="336"/>
    </row>
    <row r="92" spans="1:39" s="7" customFormat="1" ht="12.75" customHeight="1" x14ac:dyDescent="0.25">
      <c r="A92" s="311"/>
      <c r="B92" s="324"/>
      <c r="C92" s="327"/>
      <c r="D92" s="71" t="s">
        <v>94</v>
      </c>
      <c r="E92" s="228">
        <v>2500</v>
      </c>
      <c r="F92" s="228">
        <v>0</v>
      </c>
      <c r="G92" s="230">
        <v>0</v>
      </c>
      <c r="H92" s="330"/>
      <c r="I92" s="330"/>
      <c r="J92" s="332"/>
      <c r="K92" s="309"/>
      <c r="L92" s="309"/>
      <c r="M92" s="309"/>
      <c r="N92" s="309"/>
      <c r="O92" s="309"/>
      <c r="P92" s="309"/>
      <c r="Q92" s="309"/>
      <c r="R92" s="309"/>
      <c r="S92" s="309"/>
      <c r="T92" s="309"/>
      <c r="U92" s="309"/>
      <c r="V92" s="309"/>
      <c r="W92" s="309"/>
      <c r="X92" s="309"/>
      <c r="Y92" s="309"/>
      <c r="Z92" s="309"/>
      <c r="AA92" s="309"/>
      <c r="AB92" s="309"/>
      <c r="AC92" s="309"/>
      <c r="AD92" s="309"/>
      <c r="AE92" s="309"/>
      <c r="AF92" s="309"/>
      <c r="AG92" s="309"/>
      <c r="AH92" s="334"/>
      <c r="AI92" s="307"/>
      <c r="AJ92" s="6">
        <f t="shared" si="149"/>
        <v>0</v>
      </c>
      <c r="AK92" s="307"/>
      <c r="AL92" s="307"/>
      <c r="AM92" s="336"/>
    </row>
    <row r="93" spans="1:39" s="7" customFormat="1" ht="15" thickBot="1" x14ac:dyDescent="0.25">
      <c r="A93" s="312"/>
      <c r="B93" s="325"/>
      <c r="C93" s="328"/>
      <c r="D93" s="72" t="s">
        <v>52</v>
      </c>
      <c r="E93" s="234">
        <v>2775</v>
      </c>
      <c r="F93" s="234">
        <v>900</v>
      </c>
      <c r="G93" s="236">
        <v>0</v>
      </c>
      <c r="H93" s="237">
        <v>660</v>
      </c>
      <c r="I93" s="40">
        <f t="shared" ref="I93:I94" si="196">IF(E93&lt;&gt;"",30,0)</f>
        <v>30</v>
      </c>
      <c r="J93" s="56">
        <f t="shared" ref="J93:J94" si="197">H93-AH93</f>
        <v>214</v>
      </c>
      <c r="K93" s="238"/>
      <c r="L93" s="238"/>
      <c r="M93" s="238">
        <v>446</v>
      </c>
      <c r="N93" s="238"/>
      <c r="O93" s="238"/>
      <c r="P93" s="238"/>
      <c r="Q93" s="238"/>
      <c r="R93" s="238"/>
      <c r="S93" s="238"/>
      <c r="T93" s="238"/>
      <c r="U93" s="238"/>
      <c r="V93" s="238"/>
      <c r="W93" s="238"/>
      <c r="X93" s="238"/>
      <c r="Y93" s="238"/>
      <c r="Z93" s="238"/>
      <c r="AA93" s="238"/>
      <c r="AB93" s="238"/>
      <c r="AC93" s="238"/>
      <c r="AD93" s="238"/>
      <c r="AE93" s="238"/>
      <c r="AF93" s="238"/>
      <c r="AG93" s="238"/>
      <c r="AH93" s="57">
        <f t="shared" ref="AH93" si="198">SUM(K93:AG93)</f>
        <v>446</v>
      </c>
      <c r="AI93" s="41">
        <f t="shared" ref="AI93:AI94" si="199">IFERROR(J93/H93,"0")</f>
        <v>0.32424242424242422</v>
      </c>
      <c r="AJ93" s="41">
        <f t="shared" si="149"/>
        <v>0.32432432432432434</v>
      </c>
      <c r="AK93" s="41">
        <f t="shared" ref="AK93:AK94" si="200">IFERROR(F93/(F93+G93),"0")</f>
        <v>1</v>
      </c>
      <c r="AL93" s="41">
        <f t="shared" ref="AL93" si="201">IFERROR(AK93*AJ93*AI93,"0")</f>
        <v>0.10515970515970516</v>
      </c>
      <c r="AM93" s="299" t="s">
        <v>111</v>
      </c>
    </row>
    <row r="94" spans="1:39" s="7" customFormat="1" ht="12.75" customHeight="1" x14ac:dyDescent="0.25">
      <c r="A94" s="310">
        <f t="shared" ref="A94:A102" si="202">A90+1</f>
        <v>46045</v>
      </c>
      <c r="B94" s="323">
        <f t="shared" ref="B94:B102" si="203">A94</f>
        <v>46045</v>
      </c>
      <c r="C94" s="326" t="s">
        <v>23</v>
      </c>
      <c r="D94" s="68" t="s">
        <v>92</v>
      </c>
      <c r="E94" s="222"/>
      <c r="F94" s="222"/>
      <c r="G94" s="224"/>
      <c r="H94" s="329"/>
      <c r="I94" s="329">
        <f t="shared" si="196"/>
        <v>0</v>
      </c>
      <c r="J94" s="331">
        <f t="shared" si="197"/>
        <v>0</v>
      </c>
      <c r="K94" s="308"/>
      <c r="L94" s="308"/>
      <c r="M94" s="308"/>
      <c r="N94" s="308"/>
      <c r="O94" s="308"/>
      <c r="P94" s="308"/>
      <c r="Q94" s="308"/>
      <c r="R94" s="308"/>
      <c r="S94" s="308"/>
      <c r="T94" s="308"/>
      <c r="U94" s="308"/>
      <c r="V94" s="308"/>
      <c r="W94" s="308"/>
      <c r="X94" s="308"/>
      <c r="Y94" s="308"/>
      <c r="Z94" s="308"/>
      <c r="AA94" s="308"/>
      <c r="AB94" s="308"/>
      <c r="AC94" s="308"/>
      <c r="AD94" s="308"/>
      <c r="AE94" s="308"/>
      <c r="AF94" s="308"/>
      <c r="AG94" s="308"/>
      <c r="AH94" s="333">
        <f t="shared" ref="AH94" si="204">SUM(K94:AG96)</f>
        <v>0</v>
      </c>
      <c r="AI94" s="306" t="str">
        <f t="shared" si="199"/>
        <v>0</v>
      </c>
      <c r="AJ94" s="39" t="str">
        <f t="shared" si="149"/>
        <v>0</v>
      </c>
      <c r="AK94" s="306" t="str">
        <f t="shared" si="200"/>
        <v>0</v>
      </c>
      <c r="AL94" s="306">
        <f t="shared" ref="AL94" si="205">IFERROR(AK94*(AJ94+AJ95+AJ96)*AI94,"0")</f>
        <v>0</v>
      </c>
      <c r="AM94" s="335"/>
    </row>
    <row r="95" spans="1:39" s="7" customFormat="1" ht="12.75" customHeight="1" x14ac:dyDescent="0.25">
      <c r="A95" s="311"/>
      <c r="B95" s="324"/>
      <c r="C95" s="327"/>
      <c r="D95" s="71" t="s">
        <v>93</v>
      </c>
      <c r="E95" s="228"/>
      <c r="F95" s="228"/>
      <c r="G95" s="230"/>
      <c r="H95" s="330"/>
      <c r="I95" s="330"/>
      <c r="J95" s="332"/>
      <c r="K95" s="309"/>
      <c r="L95" s="309"/>
      <c r="M95" s="309"/>
      <c r="N95" s="309"/>
      <c r="O95" s="309"/>
      <c r="P95" s="309"/>
      <c r="Q95" s="309"/>
      <c r="R95" s="309"/>
      <c r="S95" s="309"/>
      <c r="T95" s="309"/>
      <c r="U95" s="309"/>
      <c r="V95" s="309"/>
      <c r="W95" s="309"/>
      <c r="X95" s="309"/>
      <c r="Y95" s="309"/>
      <c r="Z95" s="309"/>
      <c r="AA95" s="309"/>
      <c r="AB95" s="309"/>
      <c r="AC95" s="309"/>
      <c r="AD95" s="309"/>
      <c r="AE95" s="309"/>
      <c r="AF95" s="309"/>
      <c r="AG95" s="309"/>
      <c r="AH95" s="334"/>
      <c r="AI95" s="307"/>
      <c r="AJ95" s="6" t="str">
        <f t="shared" si="149"/>
        <v>0</v>
      </c>
      <c r="AK95" s="307"/>
      <c r="AL95" s="307"/>
      <c r="AM95" s="336"/>
    </row>
    <row r="96" spans="1:39" s="7" customFormat="1" ht="12.75" customHeight="1" x14ac:dyDescent="0.25">
      <c r="A96" s="311"/>
      <c r="B96" s="324"/>
      <c r="C96" s="327"/>
      <c r="D96" s="71" t="s">
        <v>94</v>
      </c>
      <c r="E96" s="228"/>
      <c r="F96" s="228"/>
      <c r="G96" s="230"/>
      <c r="H96" s="330"/>
      <c r="I96" s="330"/>
      <c r="J96" s="332"/>
      <c r="K96" s="309"/>
      <c r="L96" s="309"/>
      <c r="M96" s="309"/>
      <c r="N96" s="309"/>
      <c r="O96" s="309"/>
      <c r="P96" s="309"/>
      <c r="Q96" s="309"/>
      <c r="R96" s="309"/>
      <c r="S96" s="309"/>
      <c r="T96" s="309"/>
      <c r="U96" s="309"/>
      <c r="V96" s="309"/>
      <c r="W96" s="309"/>
      <c r="X96" s="309"/>
      <c r="Y96" s="309"/>
      <c r="Z96" s="309"/>
      <c r="AA96" s="309"/>
      <c r="AB96" s="309"/>
      <c r="AC96" s="309"/>
      <c r="AD96" s="309"/>
      <c r="AE96" s="309"/>
      <c r="AF96" s="309"/>
      <c r="AG96" s="309"/>
      <c r="AH96" s="334"/>
      <c r="AI96" s="307"/>
      <c r="AJ96" s="6" t="str">
        <f t="shared" si="149"/>
        <v>0</v>
      </c>
      <c r="AK96" s="307"/>
      <c r="AL96" s="307"/>
      <c r="AM96" s="336"/>
    </row>
    <row r="97" spans="1:39" s="7" customFormat="1" ht="15" thickBot="1" x14ac:dyDescent="0.25">
      <c r="A97" s="312"/>
      <c r="B97" s="325"/>
      <c r="C97" s="328"/>
      <c r="D97" s="72" t="s">
        <v>52</v>
      </c>
      <c r="E97" s="234"/>
      <c r="F97" s="234"/>
      <c r="G97" s="236"/>
      <c r="H97" s="237"/>
      <c r="I97" s="40">
        <f t="shared" ref="I97:I98" si="206">IF(E97&lt;&gt;"",30,0)</f>
        <v>0</v>
      </c>
      <c r="J97" s="56">
        <f t="shared" ref="J97:J98" si="207">H97-AH97</f>
        <v>0</v>
      </c>
      <c r="K97" s="238"/>
      <c r="L97" s="238"/>
      <c r="M97" s="238"/>
      <c r="N97" s="238"/>
      <c r="O97" s="238"/>
      <c r="P97" s="238"/>
      <c r="Q97" s="238"/>
      <c r="R97" s="238"/>
      <c r="S97" s="238"/>
      <c r="T97" s="238"/>
      <c r="U97" s="238"/>
      <c r="V97" s="238"/>
      <c r="W97" s="238"/>
      <c r="X97" s="238"/>
      <c r="Y97" s="238"/>
      <c r="Z97" s="238"/>
      <c r="AA97" s="238"/>
      <c r="AB97" s="238"/>
      <c r="AC97" s="238"/>
      <c r="AD97" s="238"/>
      <c r="AE97" s="238"/>
      <c r="AF97" s="238"/>
      <c r="AG97" s="238"/>
      <c r="AH97" s="57">
        <f t="shared" ref="AH97" si="208">SUM(K97:AG97)</f>
        <v>0</v>
      </c>
      <c r="AI97" s="41" t="str">
        <f t="shared" ref="AI97:AI98" si="209">IFERROR(J97/H97,"0")</f>
        <v>0</v>
      </c>
      <c r="AJ97" s="41" t="str">
        <f t="shared" si="149"/>
        <v>0</v>
      </c>
      <c r="AK97" s="41" t="str">
        <f t="shared" ref="AK97:AK98" si="210">IFERROR(F97/(F97+G97),"0")</f>
        <v>0</v>
      </c>
      <c r="AL97" s="41">
        <f t="shared" ref="AL97" si="211">IFERROR(AK97*AJ97*AI97,"0")</f>
        <v>0</v>
      </c>
      <c r="AM97" s="299"/>
    </row>
    <row r="98" spans="1:39" s="7" customFormat="1" ht="12.75" customHeight="1" x14ac:dyDescent="0.25">
      <c r="A98" s="310">
        <f t="shared" si="202"/>
        <v>46046</v>
      </c>
      <c r="B98" s="323">
        <f t="shared" si="203"/>
        <v>46046</v>
      </c>
      <c r="C98" s="326" t="s">
        <v>23</v>
      </c>
      <c r="D98" s="68" t="s">
        <v>92</v>
      </c>
      <c r="E98" s="222">
        <v>2500</v>
      </c>
      <c r="F98" s="222">
        <v>0</v>
      </c>
      <c r="G98" s="224">
        <v>0</v>
      </c>
      <c r="H98" s="329">
        <v>0</v>
      </c>
      <c r="I98" s="329">
        <f t="shared" si="206"/>
        <v>30</v>
      </c>
      <c r="J98" s="331">
        <f t="shared" si="207"/>
        <v>-660</v>
      </c>
      <c r="K98" s="308"/>
      <c r="L98" s="308"/>
      <c r="M98" s="308">
        <v>660</v>
      </c>
      <c r="N98" s="308"/>
      <c r="O98" s="308"/>
      <c r="P98" s="308"/>
      <c r="Q98" s="308"/>
      <c r="R98" s="308"/>
      <c r="S98" s="308"/>
      <c r="T98" s="308"/>
      <c r="U98" s="308"/>
      <c r="V98" s="308"/>
      <c r="W98" s="308"/>
      <c r="X98" s="308"/>
      <c r="Y98" s="308"/>
      <c r="Z98" s="308"/>
      <c r="AA98" s="308"/>
      <c r="AB98" s="308"/>
      <c r="AC98" s="308"/>
      <c r="AD98" s="308"/>
      <c r="AE98" s="308"/>
      <c r="AF98" s="308"/>
      <c r="AG98" s="308"/>
      <c r="AH98" s="333">
        <f t="shared" ref="AH98" si="212">SUM(K98:AG100)</f>
        <v>660</v>
      </c>
      <c r="AI98" s="306" t="str">
        <f t="shared" si="209"/>
        <v>0</v>
      </c>
      <c r="AJ98" s="39">
        <f t="shared" si="149"/>
        <v>0</v>
      </c>
      <c r="AK98" s="306" t="str">
        <f t="shared" si="210"/>
        <v>0</v>
      </c>
      <c r="AL98" s="306">
        <f t="shared" ref="AL98" si="213">IFERROR(AK98*(AJ98+AJ99+AJ100)*AI98,"0")</f>
        <v>0</v>
      </c>
      <c r="AM98" s="335" t="s">
        <v>113</v>
      </c>
    </row>
    <row r="99" spans="1:39" s="7" customFormat="1" ht="12.75" customHeight="1" x14ac:dyDescent="0.25">
      <c r="A99" s="311"/>
      <c r="B99" s="324"/>
      <c r="C99" s="327"/>
      <c r="D99" s="71" t="s">
        <v>93</v>
      </c>
      <c r="E99" s="228">
        <v>2500</v>
      </c>
      <c r="F99" s="228">
        <v>0</v>
      </c>
      <c r="G99" s="230">
        <v>0</v>
      </c>
      <c r="H99" s="330"/>
      <c r="I99" s="330"/>
      <c r="J99" s="332"/>
      <c r="K99" s="309"/>
      <c r="L99" s="309"/>
      <c r="M99" s="309"/>
      <c r="N99" s="309"/>
      <c r="O99" s="309"/>
      <c r="P99" s="309"/>
      <c r="Q99" s="309"/>
      <c r="R99" s="309"/>
      <c r="S99" s="309"/>
      <c r="T99" s="309"/>
      <c r="U99" s="309"/>
      <c r="V99" s="309"/>
      <c r="W99" s="309"/>
      <c r="X99" s="309"/>
      <c r="Y99" s="309"/>
      <c r="Z99" s="309"/>
      <c r="AA99" s="309"/>
      <c r="AB99" s="309"/>
      <c r="AC99" s="309"/>
      <c r="AD99" s="309"/>
      <c r="AE99" s="309"/>
      <c r="AF99" s="309"/>
      <c r="AG99" s="309"/>
      <c r="AH99" s="334"/>
      <c r="AI99" s="307"/>
      <c r="AJ99" s="6">
        <f t="shared" si="149"/>
        <v>0</v>
      </c>
      <c r="AK99" s="307"/>
      <c r="AL99" s="307"/>
      <c r="AM99" s="336"/>
    </row>
    <row r="100" spans="1:39" s="7" customFormat="1" ht="12.75" customHeight="1" x14ac:dyDescent="0.25">
      <c r="A100" s="311"/>
      <c r="B100" s="324"/>
      <c r="C100" s="327"/>
      <c r="D100" s="71" t="s">
        <v>94</v>
      </c>
      <c r="E100" s="228">
        <v>2500</v>
      </c>
      <c r="F100" s="228">
        <v>0</v>
      </c>
      <c r="G100" s="230">
        <v>0</v>
      </c>
      <c r="H100" s="330"/>
      <c r="I100" s="330"/>
      <c r="J100" s="332"/>
      <c r="K100" s="309"/>
      <c r="L100" s="309"/>
      <c r="M100" s="309"/>
      <c r="N100" s="309"/>
      <c r="O100" s="309"/>
      <c r="P100" s="309"/>
      <c r="Q100" s="309"/>
      <c r="R100" s="309"/>
      <c r="S100" s="309"/>
      <c r="T100" s="309"/>
      <c r="U100" s="309"/>
      <c r="V100" s="309"/>
      <c r="W100" s="309"/>
      <c r="X100" s="309"/>
      <c r="Y100" s="309"/>
      <c r="Z100" s="309"/>
      <c r="AA100" s="309"/>
      <c r="AB100" s="309"/>
      <c r="AC100" s="309"/>
      <c r="AD100" s="309"/>
      <c r="AE100" s="309"/>
      <c r="AF100" s="309"/>
      <c r="AG100" s="309"/>
      <c r="AH100" s="334"/>
      <c r="AI100" s="307"/>
      <c r="AJ100" s="6">
        <f t="shared" si="149"/>
        <v>0</v>
      </c>
      <c r="AK100" s="307"/>
      <c r="AL100" s="307"/>
      <c r="AM100" s="336"/>
    </row>
    <row r="101" spans="1:39" s="7" customFormat="1" ht="15" thickBot="1" x14ac:dyDescent="0.25">
      <c r="A101" s="312"/>
      <c r="B101" s="325"/>
      <c r="C101" s="328"/>
      <c r="D101" s="72" t="s">
        <v>52</v>
      </c>
      <c r="E101" s="234">
        <v>2775</v>
      </c>
      <c r="F101" s="234">
        <v>812</v>
      </c>
      <c r="G101" s="236">
        <v>0</v>
      </c>
      <c r="H101" s="237">
        <v>660</v>
      </c>
      <c r="I101" s="40">
        <f t="shared" ref="I101:I102" si="214">IF(E101&lt;&gt;"",30,0)</f>
        <v>30</v>
      </c>
      <c r="J101" s="56">
        <f t="shared" ref="J101:J102" si="215">H101-AH101</f>
        <v>193</v>
      </c>
      <c r="K101" s="238"/>
      <c r="L101" s="238"/>
      <c r="M101" s="238">
        <v>467</v>
      </c>
      <c r="N101" s="238"/>
      <c r="O101" s="238"/>
      <c r="P101" s="238"/>
      <c r="Q101" s="238"/>
      <c r="R101" s="238"/>
      <c r="S101" s="238"/>
      <c r="T101" s="238"/>
      <c r="U101" s="238"/>
      <c r="V101" s="238"/>
      <c r="W101" s="238"/>
      <c r="X101" s="238"/>
      <c r="Y101" s="238"/>
      <c r="Z101" s="238"/>
      <c r="AA101" s="238"/>
      <c r="AB101" s="238"/>
      <c r="AC101" s="238"/>
      <c r="AD101" s="238"/>
      <c r="AE101" s="238"/>
      <c r="AF101" s="238"/>
      <c r="AG101" s="238"/>
      <c r="AH101" s="57">
        <f t="shared" ref="AH101" si="216">SUM(K101:AG101)</f>
        <v>467</v>
      </c>
      <c r="AI101" s="41">
        <f t="shared" ref="AI101:AI102" si="217">IFERROR(J101/H101,"0")</f>
        <v>0.29242424242424242</v>
      </c>
      <c r="AJ101" s="41">
        <f t="shared" si="149"/>
        <v>0.29261261261261262</v>
      </c>
      <c r="AK101" s="41">
        <f t="shared" ref="AK101:AK102" si="218">IFERROR(F101/(F101+G101),"0")</f>
        <v>1</v>
      </c>
      <c r="AL101" s="41">
        <f t="shared" ref="AL101" si="219">IFERROR(AK101*AJ101*AI101,"0")</f>
        <v>8.5567021567021562E-2</v>
      </c>
      <c r="AM101" s="299" t="s">
        <v>111</v>
      </c>
    </row>
    <row r="102" spans="1:39" s="7" customFormat="1" ht="12.75" customHeight="1" x14ac:dyDescent="0.25">
      <c r="A102" s="310">
        <f t="shared" si="202"/>
        <v>46047</v>
      </c>
      <c r="B102" s="323">
        <f t="shared" si="203"/>
        <v>46047</v>
      </c>
      <c r="C102" s="326" t="s">
        <v>23</v>
      </c>
      <c r="D102" s="68" t="s">
        <v>92</v>
      </c>
      <c r="E102" s="222">
        <v>2650</v>
      </c>
      <c r="F102" s="222">
        <v>2606</v>
      </c>
      <c r="G102" s="224">
        <v>22</v>
      </c>
      <c r="H102" s="329">
        <v>660</v>
      </c>
      <c r="I102" s="329">
        <f t="shared" si="214"/>
        <v>30</v>
      </c>
      <c r="J102" s="331">
        <f t="shared" si="215"/>
        <v>607</v>
      </c>
      <c r="K102" s="308"/>
      <c r="L102" s="308"/>
      <c r="M102" s="308">
        <v>53</v>
      </c>
      <c r="N102" s="308"/>
      <c r="O102" s="308"/>
      <c r="P102" s="308"/>
      <c r="Q102" s="308"/>
      <c r="R102" s="308"/>
      <c r="S102" s="308"/>
      <c r="T102" s="308"/>
      <c r="U102" s="308"/>
      <c r="V102" s="308"/>
      <c r="W102" s="308"/>
      <c r="X102" s="308"/>
      <c r="Y102" s="308"/>
      <c r="Z102" s="308"/>
      <c r="AA102" s="308"/>
      <c r="AB102" s="308"/>
      <c r="AC102" s="308"/>
      <c r="AD102" s="308"/>
      <c r="AE102" s="308"/>
      <c r="AF102" s="308"/>
      <c r="AG102" s="308"/>
      <c r="AH102" s="333">
        <f t="shared" ref="AH102" si="220">SUM(K102:AG104)</f>
        <v>53</v>
      </c>
      <c r="AI102" s="306">
        <f t="shared" si="217"/>
        <v>0.91969696969696968</v>
      </c>
      <c r="AJ102" s="39">
        <f t="shared" si="149"/>
        <v>0.98339622641509439</v>
      </c>
      <c r="AK102" s="306">
        <f t="shared" si="218"/>
        <v>0.99162861491628618</v>
      </c>
      <c r="AL102" s="306">
        <f t="shared" ref="AL102" si="221">IFERROR(AK102*(AJ102+AJ103+AJ104)*AI102,"0")</f>
        <v>2.514967380474209</v>
      </c>
      <c r="AM102" s="335"/>
    </row>
    <row r="103" spans="1:39" s="7" customFormat="1" ht="12.75" customHeight="1" x14ac:dyDescent="0.25">
      <c r="A103" s="311"/>
      <c r="B103" s="324"/>
      <c r="C103" s="327"/>
      <c r="D103" s="71" t="s">
        <v>93</v>
      </c>
      <c r="E103" s="228">
        <v>4000</v>
      </c>
      <c r="F103" s="228">
        <v>3925</v>
      </c>
      <c r="G103" s="230">
        <v>0</v>
      </c>
      <c r="H103" s="330"/>
      <c r="I103" s="330"/>
      <c r="J103" s="332"/>
      <c r="K103" s="309"/>
      <c r="L103" s="309"/>
      <c r="M103" s="309"/>
      <c r="N103" s="309"/>
      <c r="O103" s="309"/>
      <c r="P103" s="309"/>
      <c r="Q103" s="309"/>
      <c r="R103" s="309"/>
      <c r="S103" s="309"/>
      <c r="T103" s="309"/>
      <c r="U103" s="309"/>
      <c r="V103" s="309"/>
      <c r="W103" s="309"/>
      <c r="X103" s="309"/>
      <c r="Y103" s="309"/>
      <c r="Z103" s="309"/>
      <c r="AA103" s="309"/>
      <c r="AB103" s="309"/>
      <c r="AC103" s="309"/>
      <c r="AD103" s="309"/>
      <c r="AE103" s="309"/>
      <c r="AF103" s="309"/>
      <c r="AG103" s="309"/>
      <c r="AH103" s="334"/>
      <c r="AI103" s="307"/>
      <c r="AJ103" s="6">
        <f t="shared" si="149"/>
        <v>0.98124999999999996</v>
      </c>
      <c r="AK103" s="307"/>
      <c r="AL103" s="307"/>
      <c r="AM103" s="336"/>
    </row>
    <row r="104" spans="1:39" s="7" customFormat="1" ht="12.75" customHeight="1" x14ac:dyDescent="0.25">
      <c r="A104" s="311"/>
      <c r="B104" s="324"/>
      <c r="C104" s="327"/>
      <c r="D104" s="71" t="s">
        <v>94</v>
      </c>
      <c r="E104" s="228">
        <v>2000</v>
      </c>
      <c r="F104" s="228">
        <v>1586</v>
      </c>
      <c r="G104" s="230">
        <v>215</v>
      </c>
      <c r="H104" s="330"/>
      <c r="I104" s="330"/>
      <c r="J104" s="332"/>
      <c r="K104" s="309"/>
      <c r="L104" s="309"/>
      <c r="M104" s="309"/>
      <c r="N104" s="309"/>
      <c r="O104" s="309"/>
      <c r="P104" s="309"/>
      <c r="Q104" s="309"/>
      <c r="R104" s="309"/>
      <c r="S104" s="309"/>
      <c r="T104" s="309"/>
      <c r="U104" s="309"/>
      <c r="V104" s="309"/>
      <c r="W104" s="309"/>
      <c r="X104" s="309"/>
      <c r="Y104" s="309"/>
      <c r="Z104" s="309"/>
      <c r="AA104" s="309"/>
      <c r="AB104" s="309"/>
      <c r="AC104" s="309"/>
      <c r="AD104" s="309"/>
      <c r="AE104" s="309"/>
      <c r="AF104" s="309"/>
      <c r="AG104" s="309"/>
      <c r="AH104" s="334"/>
      <c r="AI104" s="307"/>
      <c r="AJ104" s="6">
        <f t="shared" si="149"/>
        <v>0.79300000000000004</v>
      </c>
      <c r="AK104" s="307"/>
      <c r="AL104" s="307"/>
      <c r="AM104" s="336"/>
    </row>
    <row r="105" spans="1:39" s="7" customFormat="1" ht="15" thickBot="1" x14ac:dyDescent="0.25">
      <c r="A105" s="312"/>
      <c r="B105" s="325"/>
      <c r="C105" s="328"/>
      <c r="D105" s="72" t="s">
        <v>52</v>
      </c>
      <c r="E105" s="234">
        <v>2775</v>
      </c>
      <c r="F105" s="234">
        <v>1133</v>
      </c>
      <c r="G105" s="236">
        <v>0</v>
      </c>
      <c r="H105" s="237">
        <v>660</v>
      </c>
      <c r="I105" s="40">
        <f t="shared" ref="I105:I106" si="222">IF(E105&lt;&gt;"",30,0)</f>
        <v>30</v>
      </c>
      <c r="J105" s="56">
        <f t="shared" ref="J105:J106" si="223">H105-AH105</f>
        <v>269</v>
      </c>
      <c r="K105" s="238"/>
      <c r="L105" s="238"/>
      <c r="M105" s="238">
        <v>391</v>
      </c>
      <c r="N105" s="238"/>
      <c r="O105" s="238"/>
      <c r="P105" s="238"/>
      <c r="Q105" s="238"/>
      <c r="R105" s="238"/>
      <c r="S105" s="238"/>
      <c r="T105" s="238"/>
      <c r="U105" s="238"/>
      <c r="V105" s="238"/>
      <c r="W105" s="238"/>
      <c r="X105" s="238"/>
      <c r="Y105" s="238"/>
      <c r="Z105" s="238"/>
      <c r="AA105" s="238"/>
      <c r="AB105" s="238"/>
      <c r="AC105" s="238"/>
      <c r="AD105" s="238"/>
      <c r="AE105" s="238"/>
      <c r="AF105" s="238"/>
      <c r="AG105" s="238"/>
      <c r="AH105" s="57">
        <f t="shared" ref="AH105" si="224">SUM(K105:AG105)</f>
        <v>391</v>
      </c>
      <c r="AI105" s="41">
        <f t="shared" ref="AI105:AI106" si="225">IFERROR(J105/H105,"0")</f>
        <v>0.40757575757575759</v>
      </c>
      <c r="AJ105" s="41">
        <f t="shared" si="149"/>
        <v>0.40828828828828828</v>
      </c>
      <c r="AK105" s="41">
        <f t="shared" ref="AK105:AK106" si="226">IFERROR(F105/(F105+G105),"0")</f>
        <v>1</v>
      </c>
      <c r="AL105" s="41">
        <f t="shared" ref="AL105" si="227">IFERROR(AK105*AJ105*AI105,"0")</f>
        <v>0.1664084084084084</v>
      </c>
      <c r="AM105" s="299" t="s">
        <v>111</v>
      </c>
    </row>
    <row r="106" spans="1:39" s="7" customFormat="1" ht="12.75" customHeight="1" x14ac:dyDescent="0.25">
      <c r="A106" s="310">
        <f t="shared" ref="A106" si="228">A102+1</f>
        <v>46048</v>
      </c>
      <c r="B106" s="323">
        <f t="shared" ref="B106" si="229">A106</f>
        <v>46048</v>
      </c>
      <c r="C106" s="326" t="s">
        <v>23</v>
      </c>
      <c r="D106" s="68" t="s">
        <v>92</v>
      </c>
      <c r="E106" s="222">
        <v>2500</v>
      </c>
      <c r="F106" s="222">
        <v>0</v>
      </c>
      <c r="G106" s="224">
        <v>0</v>
      </c>
      <c r="H106" s="329">
        <v>480</v>
      </c>
      <c r="I106" s="329">
        <f t="shared" si="222"/>
        <v>30</v>
      </c>
      <c r="J106" s="331">
        <f t="shared" si="223"/>
        <v>0</v>
      </c>
      <c r="K106" s="308"/>
      <c r="L106" s="308"/>
      <c r="M106" s="308">
        <v>480</v>
      </c>
      <c r="N106" s="308"/>
      <c r="O106" s="308"/>
      <c r="P106" s="308"/>
      <c r="Q106" s="308"/>
      <c r="R106" s="308"/>
      <c r="S106" s="308"/>
      <c r="T106" s="308"/>
      <c r="U106" s="308"/>
      <c r="V106" s="308"/>
      <c r="W106" s="308"/>
      <c r="X106" s="308"/>
      <c r="Y106" s="308"/>
      <c r="Z106" s="308"/>
      <c r="AA106" s="308"/>
      <c r="AB106" s="308"/>
      <c r="AC106" s="308"/>
      <c r="AD106" s="308"/>
      <c r="AE106" s="308"/>
      <c r="AF106" s="308"/>
      <c r="AG106" s="308"/>
      <c r="AH106" s="333">
        <f t="shared" ref="AH106" si="230">SUM(K106:AG108)</f>
        <v>480</v>
      </c>
      <c r="AI106" s="306">
        <f t="shared" si="225"/>
        <v>0</v>
      </c>
      <c r="AJ106" s="39">
        <f t="shared" si="149"/>
        <v>0</v>
      </c>
      <c r="AK106" s="306" t="str">
        <f t="shared" si="226"/>
        <v>0</v>
      </c>
      <c r="AL106" s="306">
        <f t="shared" ref="AL106" si="231">IFERROR(AK106*(AJ106+AJ107+AJ108)*AI106,"0")</f>
        <v>0</v>
      </c>
      <c r="AM106" s="335" t="s">
        <v>111</v>
      </c>
    </row>
    <row r="107" spans="1:39" s="7" customFormat="1" ht="12.75" customHeight="1" x14ac:dyDescent="0.25">
      <c r="A107" s="311"/>
      <c r="B107" s="324"/>
      <c r="C107" s="327"/>
      <c r="D107" s="71" t="s">
        <v>93</v>
      </c>
      <c r="E107" s="228">
        <v>2500</v>
      </c>
      <c r="F107" s="228">
        <v>0</v>
      </c>
      <c r="G107" s="230">
        <v>0</v>
      </c>
      <c r="H107" s="330"/>
      <c r="I107" s="330"/>
      <c r="J107" s="332"/>
      <c r="K107" s="309"/>
      <c r="L107" s="309"/>
      <c r="M107" s="309"/>
      <c r="N107" s="309"/>
      <c r="O107" s="309"/>
      <c r="P107" s="309"/>
      <c r="Q107" s="309"/>
      <c r="R107" s="309"/>
      <c r="S107" s="309"/>
      <c r="T107" s="309"/>
      <c r="U107" s="309"/>
      <c r="V107" s="309"/>
      <c r="W107" s="309"/>
      <c r="X107" s="309"/>
      <c r="Y107" s="309"/>
      <c r="Z107" s="309"/>
      <c r="AA107" s="309"/>
      <c r="AB107" s="309"/>
      <c r="AC107" s="309"/>
      <c r="AD107" s="309"/>
      <c r="AE107" s="309"/>
      <c r="AF107" s="309"/>
      <c r="AG107" s="309"/>
      <c r="AH107" s="334"/>
      <c r="AI107" s="307"/>
      <c r="AJ107" s="6">
        <f t="shared" si="149"/>
        <v>0</v>
      </c>
      <c r="AK107" s="307"/>
      <c r="AL107" s="307"/>
      <c r="AM107" s="336"/>
    </row>
    <row r="108" spans="1:39" s="7" customFormat="1" ht="12.75" customHeight="1" x14ac:dyDescent="0.25">
      <c r="A108" s="311"/>
      <c r="B108" s="324"/>
      <c r="C108" s="327"/>
      <c r="D108" s="71" t="s">
        <v>94</v>
      </c>
      <c r="E108" s="228">
        <v>2500</v>
      </c>
      <c r="F108" s="228">
        <v>0</v>
      </c>
      <c r="G108" s="230">
        <v>0</v>
      </c>
      <c r="H108" s="330"/>
      <c r="I108" s="330"/>
      <c r="J108" s="332"/>
      <c r="K108" s="309"/>
      <c r="L108" s="309"/>
      <c r="M108" s="309"/>
      <c r="N108" s="309"/>
      <c r="O108" s="309"/>
      <c r="P108" s="309"/>
      <c r="Q108" s="309"/>
      <c r="R108" s="309"/>
      <c r="S108" s="309"/>
      <c r="T108" s="309"/>
      <c r="U108" s="309"/>
      <c r="V108" s="309"/>
      <c r="W108" s="309"/>
      <c r="X108" s="309"/>
      <c r="Y108" s="309"/>
      <c r="Z108" s="309"/>
      <c r="AA108" s="309"/>
      <c r="AB108" s="309"/>
      <c r="AC108" s="309"/>
      <c r="AD108" s="309"/>
      <c r="AE108" s="309"/>
      <c r="AF108" s="309"/>
      <c r="AG108" s="309"/>
      <c r="AH108" s="334"/>
      <c r="AI108" s="307"/>
      <c r="AJ108" s="6">
        <f t="shared" si="149"/>
        <v>0</v>
      </c>
      <c r="AK108" s="307"/>
      <c r="AL108" s="307"/>
      <c r="AM108" s="336"/>
    </row>
    <row r="109" spans="1:39" s="7" customFormat="1" ht="15" thickBot="1" x14ac:dyDescent="0.25">
      <c r="A109" s="312"/>
      <c r="B109" s="325"/>
      <c r="C109" s="328"/>
      <c r="D109" s="72" t="s">
        <v>52</v>
      </c>
      <c r="E109" s="234">
        <v>2000</v>
      </c>
      <c r="F109" s="234">
        <v>1066</v>
      </c>
      <c r="G109" s="236">
        <v>0</v>
      </c>
      <c r="H109" s="237">
        <v>480</v>
      </c>
      <c r="I109" s="40">
        <v>224</v>
      </c>
      <c r="J109" s="56">
        <f t="shared" ref="J109:J110" si="232">H109-AH109</f>
        <v>256</v>
      </c>
      <c r="K109" s="238"/>
      <c r="L109" s="238"/>
      <c r="M109" s="238">
        <v>224</v>
      </c>
      <c r="N109" s="238"/>
      <c r="O109" s="238"/>
      <c r="P109" s="238"/>
      <c r="Q109" s="238"/>
      <c r="R109" s="238"/>
      <c r="S109" s="238"/>
      <c r="T109" s="238"/>
      <c r="U109" s="238"/>
      <c r="V109" s="238"/>
      <c r="W109" s="238"/>
      <c r="X109" s="238"/>
      <c r="Y109" s="238"/>
      <c r="Z109" s="238"/>
      <c r="AA109" s="238"/>
      <c r="AB109" s="238"/>
      <c r="AC109" s="238"/>
      <c r="AD109" s="238"/>
      <c r="AE109" s="238"/>
      <c r="AF109" s="238"/>
      <c r="AG109" s="238"/>
      <c r="AH109" s="57">
        <f t="shared" ref="AH109" si="233">SUM(K109:AG109)</f>
        <v>224</v>
      </c>
      <c r="AI109" s="41">
        <f t="shared" ref="AI109:AI110" si="234">IFERROR(J109/H109,"0")</f>
        <v>0.53333333333333333</v>
      </c>
      <c r="AJ109" s="41">
        <f t="shared" si="149"/>
        <v>0.53300000000000003</v>
      </c>
      <c r="AK109" s="41">
        <f t="shared" ref="AK109:AK110" si="235">IFERROR(F109/(F109+G109),"0")</f>
        <v>1</v>
      </c>
      <c r="AL109" s="41">
        <f t="shared" ref="AL109" si="236">IFERROR(AK109*AJ109*AI109,"0")</f>
        <v>0.28426666666666667</v>
      </c>
      <c r="AM109" s="299" t="s">
        <v>111</v>
      </c>
    </row>
    <row r="110" spans="1:39" s="7" customFormat="1" ht="12.75" customHeight="1" x14ac:dyDescent="0.25">
      <c r="A110" s="310">
        <f t="shared" ref="A110:A118" si="237">A106+1</f>
        <v>46049</v>
      </c>
      <c r="B110" s="323">
        <f t="shared" ref="B110:B118" si="238">A110</f>
        <v>46049</v>
      </c>
      <c r="C110" s="326" t="s">
        <v>23</v>
      </c>
      <c r="D110" s="68" t="s">
        <v>92</v>
      </c>
      <c r="E110" s="222">
        <v>2700</v>
      </c>
      <c r="F110" s="222">
        <v>2626</v>
      </c>
      <c r="G110" s="224">
        <v>8</v>
      </c>
      <c r="H110" s="329">
        <v>660</v>
      </c>
      <c r="I110" s="329">
        <f t="shared" ref="I110" si="239">IF(E110&lt;&gt;"",30,0)</f>
        <v>30</v>
      </c>
      <c r="J110" s="331">
        <f t="shared" si="232"/>
        <v>626</v>
      </c>
      <c r="K110" s="308"/>
      <c r="L110" s="308"/>
      <c r="M110" s="308">
        <v>34</v>
      </c>
      <c r="N110" s="308"/>
      <c r="O110" s="308"/>
      <c r="P110" s="308"/>
      <c r="Q110" s="308"/>
      <c r="R110" s="308"/>
      <c r="S110" s="308"/>
      <c r="T110" s="308"/>
      <c r="U110" s="308"/>
      <c r="V110" s="308"/>
      <c r="W110" s="308"/>
      <c r="X110" s="308"/>
      <c r="Y110" s="308"/>
      <c r="Z110" s="308"/>
      <c r="AA110" s="308"/>
      <c r="AB110" s="308"/>
      <c r="AC110" s="308"/>
      <c r="AD110" s="308"/>
      <c r="AE110" s="308"/>
      <c r="AF110" s="308"/>
      <c r="AG110" s="308"/>
      <c r="AH110" s="333">
        <f t="shared" ref="AH110" si="240">SUM(K110:AG112)</f>
        <v>34</v>
      </c>
      <c r="AI110" s="306">
        <f t="shared" si="234"/>
        <v>0.94848484848484849</v>
      </c>
      <c r="AJ110" s="39">
        <f t="shared" si="149"/>
        <v>0.97259259259259256</v>
      </c>
      <c r="AK110" s="306">
        <f t="shared" si="235"/>
        <v>0.996962794229309</v>
      </c>
      <c r="AL110" s="306">
        <f t="shared" ref="AL110" si="241">IFERROR(AK110*(AJ110+AJ111+AJ112)*AI110,"0")</f>
        <v>2.6902549757803431</v>
      </c>
      <c r="AM110" s="335"/>
    </row>
    <row r="111" spans="1:39" s="7" customFormat="1" ht="12.75" customHeight="1" x14ac:dyDescent="0.25">
      <c r="A111" s="311"/>
      <c r="B111" s="324"/>
      <c r="C111" s="327"/>
      <c r="D111" s="71" t="s">
        <v>93</v>
      </c>
      <c r="E111" s="228">
        <v>800</v>
      </c>
      <c r="F111" s="228">
        <v>700</v>
      </c>
      <c r="G111" s="230">
        <v>0</v>
      </c>
      <c r="H111" s="330"/>
      <c r="I111" s="330"/>
      <c r="J111" s="332"/>
      <c r="K111" s="309"/>
      <c r="L111" s="309"/>
      <c r="M111" s="309"/>
      <c r="N111" s="309"/>
      <c r="O111" s="309"/>
      <c r="P111" s="309"/>
      <c r="Q111" s="309"/>
      <c r="R111" s="309"/>
      <c r="S111" s="309"/>
      <c r="T111" s="309"/>
      <c r="U111" s="309"/>
      <c r="V111" s="309"/>
      <c r="W111" s="309"/>
      <c r="X111" s="309"/>
      <c r="Y111" s="309"/>
      <c r="Z111" s="309"/>
      <c r="AA111" s="309"/>
      <c r="AB111" s="309"/>
      <c r="AC111" s="309"/>
      <c r="AD111" s="309"/>
      <c r="AE111" s="309"/>
      <c r="AF111" s="309"/>
      <c r="AG111" s="309"/>
      <c r="AH111" s="334"/>
      <c r="AI111" s="307"/>
      <c r="AJ111" s="6">
        <f t="shared" si="149"/>
        <v>0.875</v>
      </c>
      <c r="AK111" s="307"/>
      <c r="AL111" s="307"/>
      <c r="AM111" s="336"/>
    </row>
    <row r="112" spans="1:39" s="7" customFormat="1" ht="12.75" customHeight="1" x14ac:dyDescent="0.25">
      <c r="A112" s="311"/>
      <c r="B112" s="324"/>
      <c r="C112" s="327"/>
      <c r="D112" s="71" t="s">
        <v>94</v>
      </c>
      <c r="E112" s="228">
        <v>3100</v>
      </c>
      <c r="F112" s="228">
        <v>3092</v>
      </c>
      <c r="G112" s="230">
        <v>40</v>
      </c>
      <c r="H112" s="330"/>
      <c r="I112" s="330"/>
      <c r="J112" s="332"/>
      <c r="K112" s="309"/>
      <c r="L112" s="309"/>
      <c r="M112" s="309"/>
      <c r="N112" s="309"/>
      <c r="O112" s="309"/>
      <c r="P112" s="309"/>
      <c r="Q112" s="309"/>
      <c r="R112" s="309"/>
      <c r="S112" s="309"/>
      <c r="T112" s="309"/>
      <c r="U112" s="309"/>
      <c r="V112" s="309"/>
      <c r="W112" s="309"/>
      <c r="X112" s="309"/>
      <c r="Y112" s="309"/>
      <c r="Z112" s="309"/>
      <c r="AA112" s="309"/>
      <c r="AB112" s="309"/>
      <c r="AC112" s="309"/>
      <c r="AD112" s="309"/>
      <c r="AE112" s="309"/>
      <c r="AF112" s="309"/>
      <c r="AG112" s="309"/>
      <c r="AH112" s="334"/>
      <c r="AI112" s="307"/>
      <c r="AJ112" s="6">
        <f t="shared" si="149"/>
        <v>0.99741935483870969</v>
      </c>
      <c r="AK112" s="307"/>
      <c r="AL112" s="307"/>
      <c r="AM112" s="336"/>
    </row>
    <row r="113" spans="1:39" s="7" customFormat="1" ht="15" thickBot="1" x14ac:dyDescent="0.25">
      <c r="A113" s="312"/>
      <c r="B113" s="325"/>
      <c r="C113" s="328"/>
      <c r="D113" s="72" t="s">
        <v>52</v>
      </c>
      <c r="E113" s="234">
        <v>2775</v>
      </c>
      <c r="F113" s="234">
        <v>1433</v>
      </c>
      <c r="G113" s="236">
        <v>0</v>
      </c>
      <c r="H113" s="237">
        <v>660</v>
      </c>
      <c r="I113" s="40">
        <f t="shared" ref="I113:I114" si="242">IF(E113&lt;&gt;"",30,0)</f>
        <v>30</v>
      </c>
      <c r="J113" s="56">
        <f t="shared" ref="J113:J114" si="243">H113-AH113</f>
        <v>341</v>
      </c>
      <c r="K113" s="238"/>
      <c r="L113" s="238"/>
      <c r="M113" s="238">
        <v>319</v>
      </c>
      <c r="N113" s="238"/>
      <c r="O113" s="238"/>
      <c r="P113" s="238"/>
      <c r="Q113" s="238"/>
      <c r="R113" s="238"/>
      <c r="S113" s="238"/>
      <c r="T113" s="238"/>
      <c r="U113" s="238"/>
      <c r="V113" s="238"/>
      <c r="W113" s="238"/>
      <c r="X113" s="238"/>
      <c r="Y113" s="238"/>
      <c r="Z113" s="238"/>
      <c r="AA113" s="238"/>
      <c r="AB113" s="238"/>
      <c r="AC113" s="238"/>
      <c r="AD113" s="238"/>
      <c r="AE113" s="238"/>
      <c r="AF113" s="238"/>
      <c r="AG113" s="238"/>
      <c r="AH113" s="57">
        <f t="shared" ref="AH113" si="244">SUM(K113:AG113)</f>
        <v>319</v>
      </c>
      <c r="AI113" s="41">
        <f t="shared" ref="AI113:AI114" si="245">IFERROR(J113/H113,"0")</f>
        <v>0.51666666666666672</v>
      </c>
      <c r="AJ113" s="41">
        <f t="shared" si="149"/>
        <v>0.51639639639639645</v>
      </c>
      <c r="AK113" s="41">
        <f t="shared" ref="AK113:AK114" si="246">IFERROR(F113/(F113+G113),"0")</f>
        <v>1</v>
      </c>
      <c r="AL113" s="41">
        <f t="shared" ref="AL113" si="247">IFERROR(AK113*AJ113*AI113,"0")</f>
        <v>0.26680480480480484</v>
      </c>
      <c r="AM113" s="299" t="s">
        <v>111</v>
      </c>
    </row>
    <row r="114" spans="1:39" s="7" customFormat="1" ht="12.75" customHeight="1" x14ac:dyDescent="0.25">
      <c r="A114" s="310">
        <f t="shared" si="237"/>
        <v>46050</v>
      </c>
      <c r="B114" s="323">
        <f t="shared" si="238"/>
        <v>46050</v>
      </c>
      <c r="C114" s="326" t="s">
        <v>23</v>
      </c>
      <c r="D114" s="68" t="s">
        <v>92</v>
      </c>
      <c r="E114" s="222">
        <v>2500</v>
      </c>
      <c r="F114" s="222">
        <v>0</v>
      </c>
      <c r="G114" s="224">
        <v>0</v>
      </c>
      <c r="H114" s="329">
        <v>480</v>
      </c>
      <c r="I114" s="329">
        <f t="shared" si="242"/>
        <v>30</v>
      </c>
      <c r="J114" s="331">
        <f t="shared" si="243"/>
        <v>0</v>
      </c>
      <c r="K114" s="308"/>
      <c r="L114" s="308"/>
      <c r="M114" s="308">
        <v>480</v>
      </c>
      <c r="N114" s="308"/>
      <c r="O114" s="308"/>
      <c r="P114" s="308"/>
      <c r="Q114" s="308"/>
      <c r="R114" s="308"/>
      <c r="S114" s="308"/>
      <c r="T114" s="308"/>
      <c r="U114" s="308"/>
      <c r="V114" s="308"/>
      <c r="W114" s="308"/>
      <c r="X114" s="308"/>
      <c r="Y114" s="308"/>
      <c r="Z114" s="308"/>
      <c r="AA114" s="308"/>
      <c r="AB114" s="308"/>
      <c r="AC114" s="308"/>
      <c r="AD114" s="308"/>
      <c r="AE114" s="308"/>
      <c r="AF114" s="308"/>
      <c r="AG114" s="308"/>
      <c r="AH114" s="333">
        <f t="shared" ref="AH114" si="248">SUM(K114:AG116)</f>
        <v>480</v>
      </c>
      <c r="AI114" s="306">
        <f t="shared" si="245"/>
        <v>0</v>
      </c>
      <c r="AJ114" s="39">
        <f t="shared" si="149"/>
        <v>0</v>
      </c>
      <c r="AK114" s="306" t="str">
        <f t="shared" si="246"/>
        <v>0</v>
      </c>
      <c r="AL114" s="306">
        <f t="shared" ref="AL114" si="249">IFERROR(AK114*(AJ114+AJ115+AJ116)*AI114,"0")</f>
        <v>0</v>
      </c>
      <c r="AM114" s="335" t="s">
        <v>111</v>
      </c>
    </row>
    <row r="115" spans="1:39" s="7" customFormat="1" ht="12.75" customHeight="1" x14ac:dyDescent="0.25">
      <c r="A115" s="311"/>
      <c r="B115" s="324"/>
      <c r="C115" s="327"/>
      <c r="D115" s="71" t="s">
        <v>93</v>
      </c>
      <c r="E115" s="228">
        <v>2500</v>
      </c>
      <c r="F115" s="228">
        <v>0</v>
      </c>
      <c r="G115" s="230">
        <v>0</v>
      </c>
      <c r="H115" s="330"/>
      <c r="I115" s="330"/>
      <c r="J115" s="332"/>
      <c r="K115" s="309"/>
      <c r="L115" s="309"/>
      <c r="M115" s="309"/>
      <c r="N115" s="309"/>
      <c r="O115" s="309"/>
      <c r="P115" s="309"/>
      <c r="Q115" s="309"/>
      <c r="R115" s="309"/>
      <c r="S115" s="309"/>
      <c r="T115" s="309"/>
      <c r="U115" s="309"/>
      <c r="V115" s="309"/>
      <c r="W115" s="309"/>
      <c r="X115" s="309"/>
      <c r="Y115" s="309"/>
      <c r="Z115" s="309"/>
      <c r="AA115" s="309"/>
      <c r="AB115" s="309"/>
      <c r="AC115" s="309"/>
      <c r="AD115" s="309"/>
      <c r="AE115" s="309"/>
      <c r="AF115" s="309"/>
      <c r="AG115" s="309"/>
      <c r="AH115" s="334"/>
      <c r="AI115" s="307"/>
      <c r="AJ115" s="6">
        <f t="shared" si="149"/>
        <v>0</v>
      </c>
      <c r="AK115" s="307"/>
      <c r="AL115" s="307"/>
      <c r="AM115" s="336"/>
    </row>
    <row r="116" spans="1:39" s="7" customFormat="1" ht="12.75" customHeight="1" x14ac:dyDescent="0.25">
      <c r="A116" s="311"/>
      <c r="B116" s="324"/>
      <c r="C116" s="327"/>
      <c r="D116" s="71" t="s">
        <v>94</v>
      </c>
      <c r="E116" s="228">
        <v>2500</v>
      </c>
      <c r="F116" s="228">
        <v>0</v>
      </c>
      <c r="G116" s="230">
        <v>0</v>
      </c>
      <c r="H116" s="330"/>
      <c r="I116" s="330"/>
      <c r="J116" s="332"/>
      <c r="K116" s="309"/>
      <c r="L116" s="309"/>
      <c r="M116" s="309"/>
      <c r="N116" s="309"/>
      <c r="O116" s="309"/>
      <c r="P116" s="309"/>
      <c r="Q116" s="309"/>
      <c r="R116" s="309"/>
      <c r="S116" s="309"/>
      <c r="T116" s="309"/>
      <c r="U116" s="309"/>
      <c r="V116" s="309"/>
      <c r="W116" s="309"/>
      <c r="X116" s="309"/>
      <c r="Y116" s="309"/>
      <c r="Z116" s="309"/>
      <c r="AA116" s="309"/>
      <c r="AB116" s="309"/>
      <c r="AC116" s="309"/>
      <c r="AD116" s="309"/>
      <c r="AE116" s="309"/>
      <c r="AF116" s="309"/>
      <c r="AG116" s="309"/>
      <c r="AH116" s="334"/>
      <c r="AI116" s="307"/>
      <c r="AJ116" s="6">
        <f t="shared" si="149"/>
        <v>0</v>
      </c>
      <c r="AK116" s="307"/>
      <c r="AL116" s="307"/>
      <c r="AM116" s="336"/>
    </row>
    <row r="117" spans="1:39" s="7" customFormat="1" ht="15" thickBot="1" x14ac:dyDescent="0.25">
      <c r="A117" s="312"/>
      <c r="B117" s="325"/>
      <c r="C117" s="328"/>
      <c r="D117" s="72" t="s">
        <v>52</v>
      </c>
      <c r="E117" s="234">
        <v>2000</v>
      </c>
      <c r="F117" s="234">
        <v>983</v>
      </c>
      <c r="G117" s="236">
        <v>0</v>
      </c>
      <c r="H117" s="237">
        <v>480</v>
      </c>
      <c r="I117" s="40">
        <f t="shared" ref="I117:I118" si="250">IF(E117&lt;&gt;"",30,0)</f>
        <v>30</v>
      </c>
      <c r="J117" s="56">
        <f t="shared" ref="J117:J118" si="251">H117-AH117</f>
        <v>236</v>
      </c>
      <c r="K117" s="238"/>
      <c r="L117" s="238"/>
      <c r="M117" s="238">
        <v>244</v>
      </c>
      <c r="N117" s="238"/>
      <c r="O117" s="238"/>
      <c r="P117" s="238"/>
      <c r="Q117" s="238"/>
      <c r="R117" s="238"/>
      <c r="S117" s="238"/>
      <c r="T117" s="238"/>
      <c r="U117" s="238"/>
      <c r="V117" s="238"/>
      <c r="W117" s="238"/>
      <c r="X117" s="238"/>
      <c r="Y117" s="238"/>
      <c r="Z117" s="238"/>
      <c r="AA117" s="238"/>
      <c r="AB117" s="238"/>
      <c r="AC117" s="238"/>
      <c r="AD117" s="238"/>
      <c r="AE117" s="238"/>
      <c r="AF117" s="238"/>
      <c r="AG117" s="238"/>
      <c r="AH117" s="57">
        <f t="shared" ref="AH117" si="252">SUM(K117:AG117)</f>
        <v>244</v>
      </c>
      <c r="AI117" s="41">
        <f t="shared" ref="AI117:AI118" si="253">IFERROR(J117/H117,"0")</f>
        <v>0.49166666666666664</v>
      </c>
      <c r="AJ117" s="41">
        <f t="shared" si="149"/>
        <v>0.49149999999999999</v>
      </c>
      <c r="AK117" s="41">
        <f t="shared" ref="AK117:AK118" si="254">IFERROR(F117/(F117+G117),"0")</f>
        <v>1</v>
      </c>
      <c r="AL117" s="41">
        <f t="shared" ref="AL117" si="255">IFERROR(AK117*AJ117*AI117,"0")</f>
        <v>0.24165416666666664</v>
      </c>
      <c r="AM117" s="299" t="s">
        <v>111</v>
      </c>
    </row>
    <row r="118" spans="1:39" s="7" customFormat="1" ht="12.75" customHeight="1" x14ac:dyDescent="0.25">
      <c r="A118" s="310">
        <f t="shared" si="237"/>
        <v>46051</v>
      </c>
      <c r="B118" s="323">
        <f t="shared" si="238"/>
        <v>46051</v>
      </c>
      <c r="C118" s="326" t="s">
        <v>23</v>
      </c>
      <c r="D118" s="68" t="s">
        <v>92</v>
      </c>
      <c r="E118" s="222">
        <v>2500</v>
      </c>
      <c r="F118" s="222">
        <v>2366</v>
      </c>
      <c r="G118" s="224"/>
      <c r="H118" s="329">
        <v>480</v>
      </c>
      <c r="I118" s="329">
        <f t="shared" si="250"/>
        <v>30</v>
      </c>
      <c r="J118" s="331">
        <f t="shared" si="251"/>
        <v>457</v>
      </c>
      <c r="K118" s="308"/>
      <c r="L118" s="308"/>
      <c r="M118" s="308">
        <v>23</v>
      </c>
      <c r="N118" s="308"/>
      <c r="O118" s="308"/>
      <c r="P118" s="308"/>
      <c r="Q118" s="308"/>
      <c r="R118" s="308"/>
      <c r="S118" s="308"/>
      <c r="T118" s="308"/>
      <c r="U118" s="308"/>
      <c r="V118" s="308"/>
      <c r="W118" s="308"/>
      <c r="X118" s="308"/>
      <c r="Y118" s="308"/>
      <c r="Z118" s="308"/>
      <c r="AA118" s="308"/>
      <c r="AB118" s="308"/>
      <c r="AC118" s="308"/>
      <c r="AD118" s="308"/>
      <c r="AE118" s="308"/>
      <c r="AF118" s="308"/>
      <c r="AG118" s="308"/>
      <c r="AH118" s="333">
        <f t="shared" ref="AH118" si="256">SUM(K118:AG120)</f>
        <v>23</v>
      </c>
      <c r="AI118" s="306">
        <f t="shared" si="253"/>
        <v>0.95208333333333328</v>
      </c>
      <c r="AJ118" s="39">
        <f t="shared" si="149"/>
        <v>0.94640000000000002</v>
      </c>
      <c r="AK118" s="306">
        <f t="shared" si="254"/>
        <v>1</v>
      </c>
      <c r="AL118" s="306">
        <f t="shared" ref="AL118" si="257">IFERROR(AK118*(AJ118+AJ119+AJ120)*AI118,"0")</f>
        <v>2.7190547916666667</v>
      </c>
      <c r="AM118" s="335" t="s">
        <v>111</v>
      </c>
    </row>
    <row r="119" spans="1:39" s="7" customFormat="1" ht="12.75" customHeight="1" x14ac:dyDescent="0.25">
      <c r="A119" s="311"/>
      <c r="B119" s="324"/>
      <c r="C119" s="327"/>
      <c r="D119" s="71" t="s">
        <v>93</v>
      </c>
      <c r="E119" s="228">
        <v>2000</v>
      </c>
      <c r="F119" s="228">
        <v>1855</v>
      </c>
      <c r="G119" s="230"/>
      <c r="H119" s="330"/>
      <c r="I119" s="330"/>
      <c r="J119" s="332"/>
      <c r="K119" s="309"/>
      <c r="L119" s="309"/>
      <c r="M119" s="309"/>
      <c r="N119" s="309"/>
      <c r="O119" s="309"/>
      <c r="P119" s="309"/>
      <c r="Q119" s="309"/>
      <c r="R119" s="309"/>
      <c r="S119" s="309"/>
      <c r="T119" s="309"/>
      <c r="U119" s="309"/>
      <c r="V119" s="309"/>
      <c r="W119" s="309"/>
      <c r="X119" s="309"/>
      <c r="Y119" s="309"/>
      <c r="Z119" s="309"/>
      <c r="AA119" s="309"/>
      <c r="AB119" s="309"/>
      <c r="AC119" s="309"/>
      <c r="AD119" s="309"/>
      <c r="AE119" s="309"/>
      <c r="AF119" s="309"/>
      <c r="AG119" s="309"/>
      <c r="AH119" s="334"/>
      <c r="AI119" s="307"/>
      <c r="AJ119" s="6">
        <f t="shared" si="149"/>
        <v>0.92749999999999999</v>
      </c>
      <c r="AK119" s="307"/>
      <c r="AL119" s="307"/>
      <c r="AM119" s="336"/>
    </row>
    <row r="120" spans="1:39" s="7" customFormat="1" ht="12.75" customHeight="1" x14ac:dyDescent="0.25">
      <c r="A120" s="311"/>
      <c r="B120" s="324"/>
      <c r="C120" s="327"/>
      <c r="D120" s="71" t="s">
        <v>94</v>
      </c>
      <c r="E120" s="228">
        <v>500</v>
      </c>
      <c r="F120" s="228">
        <v>491</v>
      </c>
      <c r="G120" s="230"/>
      <c r="H120" s="330"/>
      <c r="I120" s="330"/>
      <c r="J120" s="332"/>
      <c r="K120" s="309"/>
      <c r="L120" s="309"/>
      <c r="M120" s="309"/>
      <c r="N120" s="309"/>
      <c r="O120" s="309"/>
      <c r="P120" s="309"/>
      <c r="Q120" s="309"/>
      <c r="R120" s="309"/>
      <c r="S120" s="309"/>
      <c r="T120" s="309"/>
      <c r="U120" s="309"/>
      <c r="V120" s="309"/>
      <c r="W120" s="309"/>
      <c r="X120" s="309"/>
      <c r="Y120" s="309"/>
      <c r="Z120" s="309"/>
      <c r="AA120" s="309"/>
      <c r="AB120" s="309"/>
      <c r="AC120" s="309"/>
      <c r="AD120" s="309"/>
      <c r="AE120" s="309"/>
      <c r="AF120" s="309"/>
      <c r="AG120" s="309"/>
      <c r="AH120" s="334"/>
      <c r="AI120" s="307"/>
      <c r="AJ120" s="6">
        <f t="shared" si="149"/>
        <v>0.98199999999999998</v>
      </c>
      <c r="AK120" s="307"/>
      <c r="AL120" s="307"/>
      <c r="AM120" s="336"/>
    </row>
    <row r="121" spans="1:39" s="7" customFormat="1" ht="15" thickBot="1" x14ac:dyDescent="0.25">
      <c r="A121" s="312"/>
      <c r="B121" s="325"/>
      <c r="C121" s="328"/>
      <c r="D121" s="72" t="s">
        <v>52</v>
      </c>
      <c r="E121" s="234">
        <v>2000</v>
      </c>
      <c r="F121" s="234">
        <v>473</v>
      </c>
      <c r="G121" s="236"/>
      <c r="H121" s="237">
        <v>480</v>
      </c>
      <c r="I121" s="40">
        <f t="shared" ref="I121" si="258">IF(E121&lt;&gt;"",30,0)</f>
        <v>30</v>
      </c>
      <c r="J121" s="56">
        <f t="shared" ref="J121:J122" si="259">H121-AH121</f>
        <v>114</v>
      </c>
      <c r="K121" s="238"/>
      <c r="L121" s="238"/>
      <c r="M121" s="238">
        <v>366</v>
      </c>
      <c r="N121" s="238"/>
      <c r="O121" s="238"/>
      <c r="P121" s="238"/>
      <c r="Q121" s="238"/>
      <c r="R121" s="238"/>
      <c r="S121" s="238"/>
      <c r="T121" s="238"/>
      <c r="U121" s="238"/>
      <c r="V121" s="238"/>
      <c r="W121" s="238"/>
      <c r="X121" s="238"/>
      <c r="Y121" s="238"/>
      <c r="Z121" s="238"/>
      <c r="AA121" s="238"/>
      <c r="AB121" s="238"/>
      <c r="AC121" s="238"/>
      <c r="AD121" s="238"/>
      <c r="AE121" s="238"/>
      <c r="AF121" s="238"/>
      <c r="AG121" s="238"/>
      <c r="AH121" s="57">
        <f t="shared" ref="AH121" si="260">SUM(K121:AG121)</f>
        <v>366</v>
      </c>
      <c r="AI121" s="41">
        <f t="shared" ref="AI121:AI122" si="261">IFERROR(J121/H121,"0")</f>
        <v>0.23749999999999999</v>
      </c>
      <c r="AJ121" s="41">
        <f t="shared" si="149"/>
        <v>0.23649999999999999</v>
      </c>
      <c r="AK121" s="41">
        <f t="shared" ref="AK121:AK122" si="262">IFERROR(F121/(F121+G121),"0")</f>
        <v>1</v>
      </c>
      <c r="AL121" s="41">
        <f t="shared" ref="AL121" si="263">IFERROR(AK121*AJ121*AI121,"0")</f>
        <v>5.6168749999999996E-2</v>
      </c>
      <c r="AM121" s="299" t="s">
        <v>111</v>
      </c>
    </row>
    <row r="122" spans="1:39" s="7" customFormat="1" ht="12.75" customHeight="1" x14ac:dyDescent="0.25">
      <c r="A122" s="310">
        <f t="shared" ref="A122" si="264">A118+1</f>
        <v>46052</v>
      </c>
      <c r="B122" s="323">
        <f t="shared" ref="B122" si="265">A122</f>
        <v>46052</v>
      </c>
      <c r="C122" s="326" t="s">
        <v>23</v>
      </c>
      <c r="D122" s="68" t="s">
        <v>92</v>
      </c>
      <c r="E122" s="222">
        <v>2500</v>
      </c>
      <c r="F122" s="222">
        <v>0</v>
      </c>
      <c r="G122" s="224"/>
      <c r="H122" s="329">
        <v>480</v>
      </c>
      <c r="I122" s="329">
        <f>IF(E122&lt;&gt;"",30,0)</f>
        <v>30</v>
      </c>
      <c r="J122" s="331">
        <f t="shared" si="259"/>
        <v>0</v>
      </c>
      <c r="K122" s="308"/>
      <c r="L122" s="308"/>
      <c r="M122" s="308">
        <v>480</v>
      </c>
      <c r="N122" s="308"/>
      <c r="O122" s="308"/>
      <c r="P122" s="308"/>
      <c r="Q122" s="308"/>
      <c r="R122" s="308"/>
      <c r="S122" s="308"/>
      <c r="T122" s="308"/>
      <c r="U122" s="308"/>
      <c r="V122" s="308"/>
      <c r="W122" s="308"/>
      <c r="X122" s="308"/>
      <c r="Y122" s="308"/>
      <c r="Z122" s="308"/>
      <c r="AA122" s="308"/>
      <c r="AB122" s="308"/>
      <c r="AC122" s="308"/>
      <c r="AD122" s="308"/>
      <c r="AE122" s="308"/>
      <c r="AF122" s="308"/>
      <c r="AG122" s="308"/>
      <c r="AH122" s="333">
        <f t="shared" ref="AH122" si="266">SUM(K122:AG124)</f>
        <v>480</v>
      </c>
      <c r="AI122" s="306">
        <f t="shared" si="261"/>
        <v>0</v>
      </c>
      <c r="AJ122" s="39">
        <f t="shared" si="149"/>
        <v>0</v>
      </c>
      <c r="AK122" s="306" t="str">
        <f t="shared" si="262"/>
        <v>0</v>
      </c>
      <c r="AL122" s="306">
        <f t="shared" ref="AL122" si="267">IFERROR(AK122*(AJ122+AJ123+AJ124)*AI122,"0")</f>
        <v>0</v>
      </c>
      <c r="AM122" s="335" t="s">
        <v>111</v>
      </c>
    </row>
    <row r="123" spans="1:39" s="7" customFormat="1" ht="12.75" customHeight="1" x14ac:dyDescent="0.25">
      <c r="A123" s="311"/>
      <c r="B123" s="324"/>
      <c r="C123" s="327"/>
      <c r="D123" s="71" t="s">
        <v>93</v>
      </c>
      <c r="E123" s="228">
        <v>2500</v>
      </c>
      <c r="F123" s="228">
        <v>0</v>
      </c>
      <c r="G123" s="230"/>
      <c r="H123" s="330"/>
      <c r="I123" s="330"/>
      <c r="J123" s="332"/>
      <c r="K123" s="309"/>
      <c r="L123" s="309"/>
      <c r="M123" s="309"/>
      <c r="N123" s="309"/>
      <c r="O123" s="309"/>
      <c r="P123" s="309"/>
      <c r="Q123" s="309"/>
      <c r="R123" s="309"/>
      <c r="S123" s="309"/>
      <c r="T123" s="309"/>
      <c r="U123" s="309"/>
      <c r="V123" s="309"/>
      <c r="W123" s="309"/>
      <c r="X123" s="309"/>
      <c r="Y123" s="309"/>
      <c r="Z123" s="309"/>
      <c r="AA123" s="309"/>
      <c r="AB123" s="309"/>
      <c r="AC123" s="309"/>
      <c r="AD123" s="309"/>
      <c r="AE123" s="309"/>
      <c r="AF123" s="309"/>
      <c r="AG123" s="309"/>
      <c r="AH123" s="334"/>
      <c r="AI123" s="307"/>
      <c r="AJ123" s="6">
        <f t="shared" si="149"/>
        <v>0</v>
      </c>
      <c r="AK123" s="307"/>
      <c r="AL123" s="307"/>
      <c r="AM123" s="336"/>
    </row>
    <row r="124" spans="1:39" s="7" customFormat="1" ht="12.75" customHeight="1" x14ac:dyDescent="0.25">
      <c r="A124" s="311"/>
      <c r="B124" s="324"/>
      <c r="C124" s="327"/>
      <c r="D124" s="71" t="s">
        <v>94</v>
      </c>
      <c r="E124" s="228">
        <v>2500</v>
      </c>
      <c r="F124" s="228">
        <v>0</v>
      </c>
      <c r="G124" s="230"/>
      <c r="H124" s="330"/>
      <c r="I124" s="330"/>
      <c r="J124" s="332"/>
      <c r="K124" s="309"/>
      <c r="L124" s="309"/>
      <c r="M124" s="309"/>
      <c r="N124" s="309"/>
      <c r="O124" s="309"/>
      <c r="P124" s="309"/>
      <c r="Q124" s="309"/>
      <c r="R124" s="309"/>
      <c r="S124" s="309"/>
      <c r="T124" s="309"/>
      <c r="U124" s="309"/>
      <c r="V124" s="309"/>
      <c r="W124" s="309"/>
      <c r="X124" s="309"/>
      <c r="Y124" s="309"/>
      <c r="Z124" s="309"/>
      <c r="AA124" s="309"/>
      <c r="AB124" s="309"/>
      <c r="AC124" s="309"/>
      <c r="AD124" s="309"/>
      <c r="AE124" s="309"/>
      <c r="AF124" s="309"/>
      <c r="AG124" s="309"/>
      <c r="AH124" s="334"/>
      <c r="AI124" s="307"/>
      <c r="AJ124" s="6">
        <f t="shared" si="149"/>
        <v>0</v>
      </c>
      <c r="AK124" s="307"/>
      <c r="AL124" s="307"/>
      <c r="AM124" s="336"/>
    </row>
    <row r="125" spans="1:39" s="7" customFormat="1" ht="15" thickBot="1" x14ac:dyDescent="0.25">
      <c r="A125" s="312"/>
      <c r="B125" s="325"/>
      <c r="C125" s="328"/>
      <c r="D125" s="72" t="s">
        <v>52</v>
      </c>
      <c r="E125" s="234">
        <v>2775</v>
      </c>
      <c r="F125" s="234">
        <v>0</v>
      </c>
      <c r="G125" s="236"/>
      <c r="H125" s="237">
        <v>480</v>
      </c>
      <c r="I125" s="40">
        <f t="shared" ref="I125" si="268">IF(E125&lt;&gt;"",30,0)</f>
        <v>30</v>
      </c>
      <c r="J125" s="56">
        <f t="shared" ref="J125:J126" si="269">H125-AH125</f>
        <v>0</v>
      </c>
      <c r="K125" s="238"/>
      <c r="L125" s="238"/>
      <c r="M125" s="238">
        <v>480</v>
      </c>
      <c r="N125" s="238"/>
      <c r="O125" s="238"/>
      <c r="P125" s="238"/>
      <c r="Q125" s="238"/>
      <c r="R125" s="238"/>
      <c r="S125" s="238"/>
      <c r="T125" s="238"/>
      <c r="U125" s="238"/>
      <c r="V125" s="238"/>
      <c r="W125" s="238"/>
      <c r="X125" s="238"/>
      <c r="Y125" s="238"/>
      <c r="Z125" s="238"/>
      <c r="AA125" s="238"/>
      <c r="AB125" s="238"/>
      <c r="AC125" s="238"/>
      <c r="AD125" s="238"/>
      <c r="AE125" s="238"/>
      <c r="AF125" s="238"/>
      <c r="AG125" s="238"/>
      <c r="AH125" s="57">
        <f>SUM(K125:AG125)</f>
        <v>480</v>
      </c>
      <c r="AI125" s="41">
        <f t="shared" ref="AI125:AI126" si="270">IFERROR(J125/H125,"0")</f>
        <v>0</v>
      </c>
      <c r="AJ125" s="41">
        <f t="shared" si="149"/>
        <v>0</v>
      </c>
      <c r="AK125" s="41" t="str">
        <f t="shared" ref="AK125:AK126" si="271">IFERROR(F125/(F125+G125),"0")</f>
        <v>0</v>
      </c>
      <c r="AL125" s="41">
        <f t="shared" ref="AL125" si="272">IFERROR(AK125*AJ125*AI125,"0")</f>
        <v>0</v>
      </c>
      <c r="AM125" s="299" t="s">
        <v>111</v>
      </c>
    </row>
    <row r="126" spans="1:39" s="7" customFormat="1" ht="12.75" customHeight="1" x14ac:dyDescent="0.25">
      <c r="A126" s="310">
        <f t="shared" ref="A126" si="273">A122+1</f>
        <v>46053</v>
      </c>
      <c r="B126" s="323">
        <f t="shared" ref="B126" si="274">A126</f>
        <v>46053</v>
      </c>
      <c r="C126" s="326" t="s">
        <v>23</v>
      </c>
      <c r="D126" s="68" t="s">
        <v>92</v>
      </c>
      <c r="E126" s="222">
        <v>2500</v>
      </c>
      <c r="F126" s="222">
        <v>0</v>
      </c>
      <c r="G126" s="224"/>
      <c r="H126" s="329">
        <v>480</v>
      </c>
      <c r="I126" s="329">
        <f>IF(E126&lt;&gt;"",30,0)</f>
        <v>30</v>
      </c>
      <c r="J126" s="331">
        <f t="shared" si="269"/>
        <v>0</v>
      </c>
      <c r="K126" s="308"/>
      <c r="L126" s="308"/>
      <c r="M126" s="308">
        <v>480</v>
      </c>
      <c r="N126" s="308"/>
      <c r="O126" s="308"/>
      <c r="P126" s="308"/>
      <c r="Q126" s="308"/>
      <c r="R126" s="308"/>
      <c r="S126" s="308"/>
      <c r="T126" s="308"/>
      <c r="U126" s="308"/>
      <c r="V126" s="308"/>
      <c r="W126" s="308"/>
      <c r="X126" s="308"/>
      <c r="Y126" s="308"/>
      <c r="Z126" s="308"/>
      <c r="AA126" s="308"/>
      <c r="AB126" s="308"/>
      <c r="AC126" s="308"/>
      <c r="AD126" s="308"/>
      <c r="AE126" s="308"/>
      <c r="AF126" s="308"/>
      <c r="AG126" s="308"/>
      <c r="AH126" s="333">
        <f t="shared" ref="AH126" si="275">SUM(K126:AG128)</f>
        <v>480</v>
      </c>
      <c r="AI126" s="306">
        <f t="shared" si="270"/>
        <v>0</v>
      </c>
      <c r="AJ126" s="39">
        <f t="shared" si="149"/>
        <v>0</v>
      </c>
      <c r="AK126" s="306" t="str">
        <f t="shared" si="271"/>
        <v>0</v>
      </c>
      <c r="AL126" s="306">
        <f t="shared" ref="AL126" si="276">IFERROR(AK126*(AJ126+AJ127+AJ128)*AI126,"0")</f>
        <v>0</v>
      </c>
      <c r="AM126" s="335" t="s">
        <v>111</v>
      </c>
    </row>
    <row r="127" spans="1:39" s="7" customFormat="1" ht="12.75" customHeight="1" x14ac:dyDescent="0.25">
      <c r="A127" s="311"/>
      <c r="B127" s="324"/>
      <c r="C127" s="327"/>
      <c r="D127" s="71" t="s">
        <v>93</v>
      </c>
      <c r="E127" s="228">
        <v>2500</v>
      </c>
      <c r="F127" s="228">
        <v>0</v>
      </c>
      <c r="G127" s="230"/>
      <c r="H127" s="330"/>
      <c r="I127" s="330"/>
      <c r="J127" s="332"/>
      <c r="K127" s="309"/>
      <c r="L127" s="309"/>
      <c r="M127" s="309"/>
      <c r="N127" s="309"/>
      <c r="O127" s="309"/>
      <c r="P127" s="309"/>
      <c r="Q127" s="309"/>
      <c r="R127" s="309"/>
      <c r="S127" s="309"/>
      <c r="T127" s="309"/>
      <c r="U127" s="309"/>
      <c r="V127" s="309"/>
      <c r="W127" s="309"/>
      <c r="X127" s="309"/>
      <c r="Y127" s="309"/>
      <c r="Z127" s="309"/>
      <c r="AA127" s="309"/>
      <c r="AB127" s="309"/>
      <c r="AC127" s="309"/>
      <c r="AD127" s="309"/>
      <c r="AE127" s="309"/>
      <c r="AF127" s="309"/>
      <c r="AG127" s="309"/>
      <c r="AH127" s="334"/>
      <c r="AI127" s="307"/>
      <c r="AJ127" s="6">
        <f t="shared" si="149"/>
        <v>0</v>
      </c>
      <c r="AK127" s="307"/>
      <c r="AL127" s="307"/>
      <c r="AM127" s="336"/>
    </row>
    <row r="128" spans="1:39" s="7" customFormat="1" ht="12.75" customHeight="1" x14ac:dyDescent="0.25">
      <c r="A128" s="311"/>
      <c r="B128" s="324"/>
      <c r="C128" s="327"/>
      <c r="D128" s="71" t="s">
        <v>94</v>
      </c>
      <c r="E128" s="228">
        <v>2500</v>
      </c>
      <c r="F128" s="228">
        <v>0</v>
      </c>
      <c r="G128" s="230"/>
      <c r="H128" s="330"/>
      <c r="I128" s="330"/>
      <c r="J128" s="332"/>
      <c r="K128" s="309"/>
      <c r="L128" s="309"/>
      <c r="M128" s="309"/>
      <c r="N128" s="309"/>
      <c r="O128" s="309"/>
      <c r="P128" s="309"/>
      <c r="Q128" s="309"/>
      <c r="R128" s="309"/>
      <c r="S128" s="309"/>
      <c r="T128" s="309"/>
      <c r="U128" s="309"/>
      <c r="V128" s="309"/>
      <c r="W128" s="309"/>
      <c r="X128" s="309"/>
      <c r="Y128" s="309"/>
      <c r="Z128" s="309"/>
      <c r="AA128" s="309"/>
      <c r="AB128" s="309"/>
      <c r="AC128" s="309"/>
      <c r="AD128" s="309"/>
      <c r="AE128" s="309"/>
      <c r="AF128" s="309"/>
      <c r="AG128" s="309"/>
      <c r="AH128" s="334"/>
      <c r="AI128" s="307"/>
      <c r="AJ128" s="6">
        <f t="shared" si="149"/>
        <v>0</v>
      </c>
      <c r="AK128" s="307"/>
      <c r="AL128" s="307"/>
      <c r="AM128" s="336"/>
    </row>
    <row r="129" spans="1:39" s="7" customFormat="1" ht="15" thickBot="1" x14ac:dyDescent="0.25">
      <c r="A129" s="312"/>
      <c r="B129" s="325"/>
      <c r="C129" s="328"/>
      <c r="D129" s="72" t="s">
        <v>52</v>
      </c>
      <c r="E129" s="234">
        <v>2775</v>
      </c>
      <c r="F129" s="234">
        <v>0</v>
      </c>
      <c r="G129" s="236"/>
      <c r="H129" s="237">
        <v>480</v>
      </c>
      <c r="I129" s="40">
        <f t="shared" ref="I129" si="277">IF(E129&lt;&gt;"",30,0)</f>
        <v>30</v>
      </c>
      <c r="J129" s="56">
        <f t="shared" ref="J129" si="278">H129-AH129</f>
        <v>0</v>
      </c>
      <c r="K129" s="238"/>
      <c r="L129" s="238"/>
      <c r="M129" s="238">
        <v>480</v>
      </c>
      <c r="N129" s="238"/>
      <c r="O129" s="238"/>
      <c r="P129" s="238"/>
      <c r="Q129" s="238"/>
      <c r="R129" s="238"/>
      <c r="S129" s="238"/>
      <c r="T129" s="238"/>
      <c r="U129" s="238"/>
      <c r="V129" s="238"/>
      <c r="W129" s="238"/>
      <c r="X129" s="238"/>
      <c r="Y129" s="238"/>
      <c r="Z129" s="238"/>
      <c r="AA129" s="238"/>
      <c r="AB129" s="238"/>
      <c r="AC129" s="238"/>
      <c r="AD129" s="238"/>
      <c r="AE129" s="238"/>
      <c r="AF129" s="238"/>
      <c r="AG129" s="238"/>
      <c r="AH129" s="57">
        <f t="shared" ref="AH129" si="279">SUM(K129:AG129)</f>
        <v>480</v>
      </c>
      <c r="AI129" s="41">
        <f t="shared" ref="AI129" si="280">IFERROR(J129/H129,"0")</f>
        <v>0</v>
      </c>
      <c r="AJ129" s="41">
        <f t="shared" si="149"/>
        <v>0</v>
      </c>
      <c r="AK129" s="41" t="str">
        <f t="shared" ref="AK129" si="281">IFERROR(F129/(F129+G129),"0")</f>
        <v>0</v>
      </c>
      <c r="AL129" s="41">
        <f t="shared" ref="AL129" si="282">IFERROR(AK129*AJ129*AI129,"0")</f>
        <v>0</v>
      </c>
      <c r="AM129" s="299" t="s">
        <v>111</v>
      </c>
    </row>
    <row r="130" spans="1:39" s="12" customFormat="1" ht="13.5" customHeight="1" x14ac:dyDescent="0.25">
      <c r="A130" s="313" t="s">
        <v>34</v>
      </c>
      <c r="B130" s="314"/>
      <c r="C130" s="314"/>
      <c r="D130" s="315"/>
      <c r="E130" s="23">
        <f>SUM(E6:E129)</f>
        <v>306960</v>
      </c>
      <c r="F130" s="23">
        <f t="shared" ref="F130:AH130" si="283">SUM(F6:F129)</f>
        <v>162925</v>
      </c>
      <c r="G130" s="23">
        <f t="shared" si="283"/>
        <v>521</v>
      </c>
      <c r="H130" s="23">
        <f t="shared" si="283"/>
        <v>34920</v>
      </c>
      <c r="I130" s="23">
        <f t="shared" si="283"/>
        <v>1934</v>
      </c>
      <c r="J130" s="23">
        <f t="shared" si="283"/>
        <v>17904</v>
      </c>
      <c r="K130" s="23">
        <f t="shared" si="283"/>
        <v>100</v>
      </c>
      <c r="L130" s="23">
        <f t="shared" si="283"/>
        <v>0</v>
      </c>
      <c r="M130" s="23">
        <f t="shared" si="283"/>
        <v>16886</v>
      </c>
      <c r="N130" s="23">
        <f t="shared" si="283"/>
        <v>0</v>
      </c>
      <c r="O130" s="23">
        <f t="shared" si="283"/>
        <v>0</v>
      </c>
      <c r="P130" s="23">
        <f t="shared" si="283"/>
        <v>0</v>
      </c>
      <c r="Q130" s="23">
        <f t="shared" si="283"/>
        <v>0</v>
      </c>
      <c r="R130" s="23">
        <f t="shared" si="283"/>
        <v>0</v>
      </c>
      <c r="S130" s="23">
        <f t="shared" si="283"/>
        <v>0</v>
      </c>
      <c r="T130" s="23">
        <f t="shared" si="283"/>
        <v>0</v>
      </c>
      <c r="U130" s="23">
        <f t="shared" si="283"/>
        <v>0</v>
      </c>
      <c r="V130" s="23">
        <f t="shared" si="283"/>
        <v>0</v>
      </c>
      <c r="W130" s="23">
        <f t="shared" si="283"/>
        <v>0</v>
      </c>
      <c r="X130" s="23">
        <f t="shared" si="283"/>
        <v>0</v>
      </c>
      <c r="Y130" s="23">
        <f t="shared" si="283"/>
        <v>0</v>
      </c>
      <c r="Z130" s="23">
        <f t="shared" si="283"/>
        <v>30</v>
      </c>
      <c r="AA130" s="23">
        <f t="shared" si="283"/>
        <v>0</v>
      </c>
      <c r="AB130" s="23">
        <f t="shared" si="283"/>
        <v>0</v>
      </c>
      <c r="AC130" s="23">
        <f t="shared" si="283"/>
        <v>0</v>
      </c>
      <c r="AD130" s="23">
        <f t="shared" si="283"/>
        <v>0</v>
      </c>
      <c r="AE130" s="23">
        <f t="shared" si="283"/>
        <v>0</v>
      </c>
      <c r="AF130" s="23">
        <f t="shared" si="283"/>
        <v>0</v>
      </c>
      <c r="AG130" s="23">
        <f t="shared" si="283"/>
        <v>0</v>
      </c>
      <c r="AH130" s="23">
        <f t="shared" si="283"/>
        <v>17016</v>
      </c>
      <c r="AI130" s="24">
        <f>IFERROR(J130/H130,0)</f>
        <v>0.51271477663230236</v>
      </c>
      <c r="AJ130" s="24">
        <f>IFERROR(F130/E130,0)</f>
        <v>0.53076948136565028</v>
      </c>
      <c r="AK130" s="24">
        <f>IFERROR(F130/(F130+G130),0)</f>
        <v>0.99681240287312023</v>
      </c>
      <c r="AL130" s="300">
        <f>IFERROR(AK130*AJ130*AI130,0)</f>
        <v>0.27126590457765837</v>
      </c>
      <c r="AM130" s="301"/>
    </row>
    <row r="134" spans="1:39" x14ac:dyDescent="0.25">
      <c r="AI134" s="15"/>
      <c r="AJ134" s="15"/>
      <c r="AK134" s="15"/>
    </row>
  </sheetData>
  <mergeCells count="1058">
    <mergeCell ref="AM86:AM88"/>
    <mergeCell ref="AM90:AM92"/>
    <mergeCell ref="AM94:AM96"/>
    <mergeCell ref="AM98:AM100"/>
    <mergeCell ref="AM102:AM104"/>
    <mergeCell ref="AM106:AM108"/>
    <mergeCell ref="AM110:AM112"/>
    <mergeCell ref="AM114:AM116"/>
    <mergeCell ref="AM118:AM120"/>
    <mergeCell ref="AM122:AM124"/>
    <mergeCell ref="AM126:AM128"/>
    <mergeCell ref="AM34:AM36"/>
    <mergeCell ref="AM50:AM52"/>
    <mergeCell ref="AM78:AM80"/>
    <mergeCell ref="AM6:AM8"/>
    <mergeCell ref="AM10:AM12"/>
    <mergeCell ref="AM14:AM16"/>
    <mergeCell ref="AM18:AM20"/>
    <mergeCell ref="AM22:AM24"/>
    <mergeCell ref="AM26:AM28"/>
    <mergeCell ref="AM30:AM32"/>
    <mergeCell ref="AM38:AM40"/>
    <mergeCell ref="AM42:AM44"/>
    <mergeCell ref="AM46:AM48"/>
    <mergeCell ref="AM54:AM56"/>
    <mergeCell ref="AM58:AM60"/>
    <mergeCell ref="AM62:AM64"/>
    <mergeCell ref="AM66:AM68"/>
    <mergeCell ref="AM70:AM72"/>
    <mergeCell ref="AM74:AM76"/>
    <mergeCell ref="AM82:AM84"/>
    <mergeCell ref="AK126:AK128"/>
    <mergeCell ref="AL126:AL128"/>
    <mergeCell ref="AE126:AE128"/>
    <mergeCell ref="AF126:AF128"/>
    <mergeCell ref="AG126:AG128"/>
    <mergeCell ref="AH126:AH128"/>
    <mergeCell ref="AI126:AI128"/>
    <mergeCell ref="Z126:Z128"/>
    <mergeCell ref="AA126:AA128"/>
    <mergeCell ref="AB126:AB128"/>
    <mergeCell ref="AC126:AC128"/>
    <mergeCell ref="AD126:AD128"/>
    <mergeCell ref="U126:U128"/>
    <mergeCell ref="V126:V128"/>
    <mergeCell ref="W126:W128"/>
    <mergeCell ref="X126:X128"/>
    <mergeCell ref="Y126:Y128"/>
    <mergeCell ref="P126:P128"/>
    <mergeCell ref="Q126:Q128"/>
    <mergeCell ref="R126:R128"/>
    <mergeCell ref="S126:S128"/>
    <mergeCell ref="T126:T128"/>
    <mergeCell ref="K126:K128"/>
    <mergeCell ref="L126:L128"/>
    <mergeCell ref="M126:M128"/>
    <mergeCell ref="N126:N128"/>
    <mergeCell ref="O126:O128"/>
    <mergeCell ref="B126:B129"/>
    <mergeCell ref="C126:C129"/>
    <mergeCell ref="H126:H128"/>
    <mergeCell ref="I126:I128"/>
    <mergeCell ref="J126:J128"/>
    <mergeCell ref="AG122:AG124"/>
    <mergeCell ref="AH122:AH124"/>
    <mergeCell ref="AK122:AK124"/>
    <mergeCell ref="AL122:AL124"/>
    <mergeCell ref="AB122:AB124"/>
    <mergeCell ref="AC122:AC124"/>
    <mergeCell ref="AD122:AD124"/>
    <mergeCell ref="AE122:AE124"/>
    <mergeCell ref="AF122:AF124"/>
    <mergeCell ref="W122:W124"/>
    <mergeCell ref="X122:X124"/>
    <mergeCell ref="Y122:Y124"/>
    <mergeCell ref="Z122:Z124"/>
    <mergeCell ref="AA122:AA124"/>
    <mergeCell ref="R122:R124"/>
    <mergeCell ref="S122:S124"/>
    <mergeCell ref="T122:T124"/>
    <mergeCell ref="U122:U124"/>
    <mergeCell ref="V122:V124"/>
    <mergeCell ref="AI118:AI120"/>
    <mergeCell ref="AK118:AK120"/>
    <mergeCell ref="AL118:AL120"/>
    <mergeCell ref="A122:A125"/>
    <mergeCell ref="B122:B125"/>
    <mergeCell ref="C122:C125"/>
    <mergeCell ref="H122:H124"/>
    <mergeCell ref="I122:I124"/>
    <mergeCell ref="J122:J124"/>
    <mergeCell ref="K122:K124"/>
    <mergeCell ref="L122:L124"/>
    <mergeCell ref="M122:M124"/>
    <mergeCell ref="N122:N124"/>
    <mergeCell ref="O122:O124"/>
    <mergeCell ref="P122:P124"/>
    <mergeCell ref="Q122:Q124"/>
    <mergeCell ref="AD118:AD120"/>
    <mergeCell ref="AE118:AE120"/>
    <mergeCell ref="AF118:AF120"/>
    <mergeCell ref="AG118:AG120"/>
    <mergeCell ref="AH118:AH120"/>
    <mergeCell ref="Y118:Y120"/>
    <mergeCell ref="Z118:Z120"/>
    <mergeCell ref="AA118:AA120"/>
    <mergeCell ref="AB118:AB120"/>
    <mergeCell ref="AC118:AC120"/>
    <mergeCell ref="T118:T120"/>
    <mergeCell ref="U118:U120"/>
    <mergeCell ref="V118:V120"/>
    <mergeCell ref="W118:W120"/>
    <mergeCell ref="X118:X120"/>
    <mergeCell ref="AI122:AI124"/>
    <mergeCell ref="AL114:AL116"/>
    <mergeCell ref="A118:A121"/>
    <mergeCell ref="B118:B121"/>
    <mergeCell ref="C118:C121"/>
    <mergeCell ref="H118:H120"/>
    <mergeCell ref="I118:I120"/>
    <mergeCell ref="J118:J120"/>
    <mergeCell ref="K118:K120"/>
    <mergeCell ref="L118:L120"/>
    <mergeCell ref="M118:M120"/>
    <mergeCell ref="N118:N120"/>
    <mergeCell ref="O118:O120"/>
    <mergeCell ref="P118:P120"/>
    <mergeCell ref="Q118:Q120"/>
    <mergeCell ref="R118:R120"/>
    <mergeCell ref="S118:S120"/>
    <mergeCell ref="AF114:AF116"/>
    <mergeCell ref="AG114:AG116"/>
    <mergeCell ref="AH114:AH116"/>
    <mergeCell ref="AI114:AI116"/>
    <mergeCell ref="AK114:AK116"/>
    <mergeCell ref="AA114:AA116"/>
    <mergeCell ref="AB114:AB116"/>
    <mergeCell ref="AC114:AC116"/>
    <mergeCell ref="AD114:AD116"/>
    <mergeCell ref="AE114:AE116"/>
    <mergeCell ref="V114:V116"/>
    <mergeCell ref="W114:W116"/>
    <mergeCell ref="X114:X116"/>
    <mergeCell ref="Y114:Y116"/>
    <mergeCell ref="Z114:Z116"/>
    <mergeCell ref="Q114:Q116"/>
    <mergeCell ref="R114:R116"/>
    <mergeCell ref="S114:S116"/>
    <mergeCell ref="T114:T116"/>
    <mergeCell ref="U114:U116"/>
    <mergeCell ref="AH110:AH112"/>
    <mergeCell ref="AI110:AI112"/>
    <mergeCell ref="AK110:AK112"/>
    <mergeCell ref="AL110:AL112"/>
    <mergeCell ref="A114:A117"/>
    <mergeCell ref="B114:B117"/>
    <mergeCell ref="C114:C117"/>
    <mergeCell ref="H114:H116"/>
    <mergeCell ref="I114:I116"/>
    <mergeCell ref="J114:J116"/>
    <mergeCell ref="K114:K116"/>
    <mergeCell ref="L114:L116"/>
    <mergeCell ref="M114:M116"/>
    <mergeCell ref="N114:N116"/>
    <mergeCell ref="O114:O116"/>
    <mergeCell ref="P114:P116"/>
    <mergeCell ref="AC110:AC112"/>
    <mergeCell ref="AD110:AD112"/>
    <mergeCell ref="AE110:AE112"/>
    <mergeCell ref="AF110:AF112"/>
    <mergeCell ref="AG110:AG112"/>
    <mergeCell ref="X110:X112"/>
    <mergeCell ref="Y110:Y112"/>
    <mergeCell ref="Z110:Z112"/>
    <mergeCell ref="AA110:AA112"/>
    <mergeCell ref="AB110:AB112"/>
    <mergeCell ref="S110:S112"/>
    <mergeCell ref="T110:T112"/>
    <mergeCell ref="U110:U112"/>
    <mergeCell ref="V110:V112"/>
    <mergeCell ref="W110:W112"/>
    <mergeCell ref="AK106:AK108"/>
    <mergeCell ref="AL106:AL108"/>
    <mergeCell ref="A110:A113"/>
    <mergeCell ref="B110:B113"/>
    <mergeCell ref="C110:C113"/>
    <mergeCell ref="H110:H112"/>
    <mergeCell ref="I110:I112"/>
    <mergeCell ref="J110:J112"/>
    <mergeCell ref="K110:K112"/>
    <mergeCell ref="L110:L112"/>
    <mergeCell ref="M110:M112"/>
    <mergeCell ref="N110:N112"/>
    <mergeCell ref="O110:O112"/>
    <mergeCell ref="P110:P112"/>
    <mergeCell ref="Q110:Q112"/>
    <mergeCell ref="R110:R112"/>
    <mergeCell ref="AE106:AE108"/>
    <mergeCell ref="AF106:AF108"/>
    <mergeCell ref="AG106:AG108"/>
    <mergeCell ref="AH106:AH108"/>
    <mergeCell ref="AI106:AI108"/>
    <mergeCell ref="Z106:Z108"/>
    <mergeCell ref="AA106:AA108"/>
    <mergeCell ref="AB106:AB108"/>
    <mergeCell ref="AC106:AC108"/>
    <mergeCell ref="AD106:AD108"/>
    <mergeCell ref="U106:U108"/>
    <mergeCell ref="V106:V108"/>
    <mergeCell ref="W106:W108"/>
    <mergeCell ref="X106:X108"/>
    <mergeCell ref="Y106:Y108"/>
    <mergeCell ref="P106:P108"/>
    <mergeCell ref="Q106:Q108"/>
    <mergeCell ref="R106:R108"/>
    <mergeCell ref="S106:S108"/>
    <mergeCell ref="T106:T108"/>
    <mergeCell ref="K106:K108"/>
    <mergeCell ref="L106:L108"/>
    <mergeCell ref="M106:M108"/>
    <mergeCell ref="N106:N108"/>
    <mergeCell ref="O106:O108"/>
    <mergeCell ref="B106:B109"/>
    <mergeCell ref="C106:C109"/>
    <mergeCell ref="H106:H108"/>
    <mergeCell ref="I106:I108"/>
    <mergeCell ref="J106:J108"/>
    <mergeCell ref="AH102:AH104"/>
    <mergeCell ref="AI102:AI104"/>
    <mergeCell ref="AK102:AK104"/>
    <mergeCell ref="AL102:AL104"/>
    <mergeCell ref="AB102:AB104"/>
    <mergeCell ref="AC102:AC104"/>
    <mergeCell ref="AD102:AD104"/>
    <mergeCell ref="AE102:AE104"/>
    <mergeCell ref="AF102:AF104"/>
    <mergeCell ref="W102:W104"/>
    <mergeCell ref="X102:X104"/>
    <mergeCell ref="Y102:Y104"/>
    <mergeCell ref="Z102:Z104"/>
    <mergeCell ref="AA102:AA104"/>
    <mergeCell ref="R102:R104"/>
    <mergeCell ref="S102:S104"/>
    <mergeCell ref="T102:T104"/>
    <mergeCell ref="U102:U104"/>
    <mergeCell ref="V102:V104"/>
    <mergeCell ref="AI98:AI100"/>
    <mergeCell ref="AK98:AK100"/>
    <mergeCell ref="AL98:AL100"/>
    <mergeCell ref="A102:A105"/>
    <mergeCell ref="B102:B105"/>
    <mergeCell ref="C102:C105"/>
    <mergeCell ref="H102:H104"/>
    <mergeCell ref="I102:I104"/>
    <mergeCell ref="J102:J104"/>
    <mergeCell ref="K102:K104"/>
    <mergeCell ref="L102:L104"/>
    <mergeCell ref="M102:M104"/>
    <mergeCell ref="N102:N104"/>
    <mergeCell ref="O102:O104"/>
    <mergeCell ref="P102:P104"/>
    <mergeCell ref="Q102:Q104"/>
    <mergeCell ref="AD98:AD100"/>
    <mergeCell ref="AE98:AE100"/>
    <mergeCell ref="AF98:AF100"/>
    <mergeCell ref="AG98:AG100"/>
    <mergeCell ref="AH98:AH100"/>
    <mergeCell ref="Y98:Y100"/>
    <mergeCell ref="Z98:Z100"/>
    <mergeCell ref="AA98:AA100"/>
    <mergeCell ref="AB98:AB100"/>
    <mergeCell ref="AC98:AC100"/>
    <mergeCell ref="T98:T100"/>
    <mergeCell ref="U98:U100"/>
    <mergeCell ref="V98:V100"/>
    <mergeCell ref="W98:W100"/>
    <mergeCell ref="X98:X100"/>
    <mergeCell ref="AG102:AG104"/>
    <mergeCell ref="AL94:AL96"/>
    <mergeCell ref="A98:A101"/>
    <mergeCell ref="B98:B101"/>
    <mergeCell ref="C98:C101"/>
    <mergeCell ref="H98:H100"/>
    <mergeCell ref="I98:I100"/>
    <mergeCell ref="J98:J100"/>
    <mergeCell ref="K98:K100"/>
    <mergeCell ref="L98:L100"/>
    <mergeCell ref="M98:M100"/>
    <mergeCell ref="N98:N100"/>
    <mergeCell ref="O98:O100"/>
    <mergeCell ref="P98:P100"/>
    <mergeCell ref="Q98:Q100"/>
    <mergeCell ref="R98:R100"/>
    <mergeCell ref="S98:S100"/>
    <mergeCell ref="AF94:AF96"/>
    <mergeCell ref="AG94:AG96"/>
    <mergeCell ref="AH94:AH96"/>
    <mergeCell ref="AI94:AI96"/>
    <mergeCell ref="AK94:AK96"/>
    <mergeCell ref="AA94:AA96"/>
    <mergeCell ref="AB94:AB96"/>
    <mergeCell ref="AC94:AC96"/>
    <mergeCell ref="AD94:AD96"/>
    <mergeCell ref="AE94:AE96"/>
    <mergeCell ref="V94:V96"/>
    <mergeCell ref="W94:W96"/>
    <mergeCell ref="X94:X96"/>
    <mergeCell ref="Y94:Y96"/>
    <mergeCell ref="Z94:Z96"/>
    <mergeCell ref="Q94:Q96"/>
    <mergeCell ref="R94:R96"/>
    <mergeCell ref="S94:S96"/>
    <mergeCell ref="T94:T96"/>
    <mergeCell ref="U94:U96"/>
    <mergeCell ref="AH90:AH92"/>
    <mergeCell ref="AI90:AI92"/>
    <mergeCell ref="AK90:AK92"/>
    <mergeCell ref="AL90:AL92"/>
    <mergeCell ref="A94:A97"/>
    <mergeCell ref="B94:B97"/>
    <mergeCell ref="C94:C97"/>
    <mergeCell ref="H94:H96"/>
    <mergeCell ref="I94:I96"/>
    <mergeCell ref="J94:J96"/>
    <mergeCell ref="K94:K96"/>
    <mergeCell ref="L94:L96"/>
    <mergeCell ref="M94:M96"/>
    <mergeCell ref="N94:N96"/>
    <mergeCell ref="O94:O96"/>
    <mergeCell ref="P94:P96"/>
    <mergeCell ref="AC90:AC92"/>
    <mergeCell ref="AD90:AD92"/>
    <mergeCell ref="AE90:AE92"/>
    <mergeCell ref="AF90:AF92"/>
    <mergeCell ref="AG90:AG92"/>
    <mergeCell ref="X90:X92"/>
    <mergeCell ref="Y90:Y92"/>
    <mergeCell ref="Z90:Z92"/>
    <mergeCell ref="AA90:AA92"/>
    <mergeCell ref="AB90:AB92"/>
    <mergeCell ref="S90:S92"/>
    <mergeCell ref="T90:T92"/>
    <mergeCell ref="U90:U92"/>
    <mergeCell ref="V90:V92"/>
    <mergeCell ref="W90:W92"/>
    <mergeCell ref="AK86:AK88"/>
    <mergeCell ref="AL86:AL88"/>
    <mergeCell ref="A90:A93"/>
    <mergeCell ref="B90:B93"/>
    <mergeCell ref="C90:C93"/>
    <mergeCell ref="H90:H92"/>
    <mergeCell ref="I90:I92"/>
    <mergeCell ref="J90:J92"/>
    <mergeCell ref="K90:K92"/>
    <mergeCell ref="L90:L92"/>
    <mergeCell ref="M90:M92"/>
    <mergeCell ref="N90:N92"/>
    <mergeCell ref="O90:O92"/>
    <mergeCell ref="P90:P92"/>
    <mergeCell ref="Q90:Q92"/>
    <mergeCell ref="R90:R92"/>
    <mergeCell ref="AE86:AE88"/>
    <mergeCell ref="AF86:AF88"/>
    <mergeCell ref="AG86:AG88"/>
    <mergeCell ref="AH86:AH88"/>
    <mergeCell ref="AI86:AI88"/>
    <mergeCell ref="Z86:Z88"/>
    <mergeCell ref="AA86:AA88"/>
    <mergeCell ref="AB86:AB88"/>
    <mergeCell ref="AC86:AC88"/>
    <mergeCell ref="AD86:AD88"/>
    <mergeCell ref="U86:U88"/>
    <mergeCell ref="V86:V88"/>
    <mergeCell ref="W86:W88"/>
    <mergeCell ref="X86:X88"/>
    <mergeCell ref="Y86:Y88"/>
    <mergeCell ref="P86:P88"/>
    <mergeCell ref="Q86:Q88"/>
    <mergeCell ref="R86:R88"/>
    <mergeCell ref="S86:S88"/>
    <mergeCell ref="T86:T88"/>
    <mergeCell ref="K86:K88"/>
    <mergeCell ref="L86:L88"/>
    <mergeCell ref="M86:M88"/>
    <mergeCell ref="N86:N88"/>
    <mergeCell ref="O86:O88"/>
    <mergeCell ref="B86:B89"/>
    <mergeCell ref="C86:C89"/>
    <mergeCell ref="H86:H88"/>
    <mergeCell ref="I86:I88"/>
    <mergeCell ref="J86:J88"/>
    <mergeCell ref="AH82:AH84"/>
    <mergeCell ref="AI82:AI84"/>
    <mergeCell ref="AK82:AK84"/>
    <mergeCell ref="AL82:AL84"/>
    <mergeCell ref="AB82:AB84"/>
    <mergeCell ref="AC82:AC84"/>
    <mergeCell ref="AD82:AD84"/>
    <mergeCell ref="AE82:AE84"/>
    <mergeCell ref="AF82:AF84"/>
    <mergeCell ref="W82:W84"/>
    <mergeCell ref="X82:X84"/>
    <mergeCell ref="Y82:Y84"/>
    <mergeCell ref="Z82:Z84"/>
    <mergeCell ref="AA82:AA84"/>
    <mergeCell ref="R82:R84"/>
    <mergeCell ref="S82:S84"/>
    <mergeCell ref="T82:T84"/>
    <mergeCell ref="U82:U84"/>
    <mergeCell ref="V82:V84"/>
    <mergeCell ref="AI78:AI80"/>
    <mergeCell ref="AK78:AK80"/>
    <mergeCell ref="AL78:AL80"/>
    <mergeCell ref="A82:A85"/>
    <mergeCell ref="B82:B85"/>
    <mergeCell ref="C82:C85"/>
    <mergeCell ref="H82:H84"/>
    <mergeCell ref="I82:I84"/>
    <mergeCell ref="J82:J84"/>
    <mergeCell ref="K82:K84"/>
    <mergeCell ref="L82:L84"/>
    <mergeCell ref="M82:M84"/>
    <mergeCell ref="N82:N84"/>
    <mergeCell ref="O82:O84"/>
    <mergeCell ref="P82:P84"/>
    <mergeCell ref="Q82:Q84"/>
    <mergeCell ref="AD78:AD80"/>
    <mergeCell ref="AE78:AE80"/>
    <mergeCell ref="AF78:AF80"/>
    <mergeCell ref="AG78:AG80"/>
    <mergeCell ref="AH78:AH80"/>
    <mergeCell ref="Y78:Y80"/>
    <mergeCell ref="Z78:Z80"/>
    <mergeCell ref="AA78:AA80"/>
    <mergeCell ref="AB78:AB80"/>
    <mergeCell ref="AC78:AC80"/>
    <mergeCell ref="T78:T80"/>
    <mergeCell ref="U78:U80"/>
    <mergeCell ref="V78:V80"/>
    <mergeCell ref="W78:W80"/>
    <mergeCell ref="X78:X80"/>
    <mergeCell ref="AG82:AG84"/>
    <mergeCell ref="AL74:AL76"/>
    <mergeCell ref="A78:A81"/>
    <mergeCell ref="B78:B81"/>
    <mergeCell ref="C78:C81"/>
    <mergeCell ref="H78:H80"/>
    <mergeCell ref="I78:I80"/>
    <mergeCell ref="J78:J80"/>
    <mergeCell ref="K78:K80"/>
    <mergeCell ref="L78:L80"/>
    <mergeCell ref="M78:M80"/>
    <mergeCell ref="N78:N80"/>
    <mergeCell ref="O78:O80"/>
    <mergeCell ref="P78:P80"/>
    <mergeCell ref="Q78:Q80"/>
    <mergeCell ref="R78:R80"/>
    <mergeCell ref="S78:S80"/>
    <mergeCell ref="AF74:AF76"/>
    <mergeCell ref="AG74:AG76"/>
    <mergeCell ref="AH74:AH76"/>
    <mergeCell ref="AI74:AI76"/>
    <mergeCell ref="AK74:AK76"/>
    <mergeCell ref="AA74:AA76"/>
    <mergeCell ref="AB74:AB76"/>
    <mergeCell ref="AC74:AC76"/>
    <mergeCell ref="AD74:AD76"/>
    <mergeCell ref="AE74:AE76"/>
    <mergeCell ref="V74:V76"/>
    <mergeCell ref="W74:W76"/>
    <mergeCell ref="X74:X76"/>
    <mergeCell ref="Y74:Y76"/>
    <mergeCell ref="Z74:Z76"/>
    <mergeCell ref="Q74:Q76"/>
    <mergeCell ref="R74:R76"/>
    <mergeCell ref="S74:S76"/>
    <mergeCell ref="T74:T76"/>
    <mergeCell ref="U74:U76"/>
    <mergeCell ref="AH70:AH72"/>
    <mergeCell ref="AI70:AI72"/>
    <mergeCell ref="AK70:AK72"/>
    <mergeCell ref="AL70:AL72"/>
    <mergeCell ref="A74:A77"/>
    <mergeCell ref="B74:B77"/>
    <mergeCell ref="C74:C77"/>
    <mergeCell ref="H74:H76"/>
    <mergeCell ref="I74:I76"/>
    <mergeCell ref="J74:J76"/>
    <mergeCell ref="K74:K76"/>
    <mergeCell ref="L74:L76"/>
    <mergeCell ref="M74:M76"/>
    <mergeCell ref="N74:N76"/>
    <mergeCell ref="O74:O76"/>
    <mergeCell ref="P74:P76"/>
    <mergeCell ref="AC70:AC72"/>
    <mergeCell ref="AD70:AD72"/>
    <mergeCell ref="AE70:AE72"/>
    <mergeCell ref="AF70:AF72"/>
    <mergeCell ref="AG70:AG72"/>
    <mergeCell ref="X70:X72"/>
    <mergeCell ref="Y70:Y72"/>
    <mergeCell ref="Z70:Z72"/>
    <mergeCell ref="AA70:AA72"/>
    <mergeCell ref="AB70:AB72"/>
    <mergeCell ref="S70:S72"/>
    <mergeCell ref="T70:T72"/>
    <mergeCell ref="U70:U72"/>
    <mergeCell ref="V70:V72"/>
    <mergeCell ref="W70:W72"/>
    <mergeCell ref="AK66:AK68"/>
    <mergeCell ref="AL66:AL68"/>
    <mergeCell ref="A70:A73"/>
    <mergeCell ref="B70:B73"/>
    <mergeCell ref="C70:C73"/>
    <mergeCell ref="H70:H72"/>
    <mergeCell ref="I70:I72"/>
    <mergeCell ref="J70:J72"/>
    <mergeCell ref="K70:K72"/>
    <mergeCell ref="L70:L72"/>
    <mergeCell ref="M70:M72"/>
    <mergeCell ref="N70:N72"/>
    <mergeCell ref="O70:O72"/>
    <mergeCell ref="P70:P72"/>
    <mergeCell ref="Q70:Q72"/>
    <mergeCell ref="R70:R72"/>
    <mergeCell ref="AE66:AE68"/>
    <mergeCell ref="AF66:AF68"/>
    <mergeCell ref="AG66:AG68"/>
    <mergeCell ref="AH66:AH68"/>
    <mergeCell ref="AI66:AI68"/>
    <mergeCell ref="Z66:Z68"/>
    <mergeCell ref="AA66:AA68"/>
    <mergeCell ref="AB66:AB68"/>
    <mergeCell ref="AC66:AC68"/>
    <mergeCell ref="AD66:AD68"/>
    <mergeCell ref="U66:U68"/>
    <mergeCell ref="V66:V68"/>
    <mergeCell ref="W66:W68"/>
    <mergeCell ref="X66:X68"/>
    <mergeCell ref="Y66:Y68"/>
    <mergeCell ref="P66:P68"/>
    <mergeCell ref="Q66:Q68"/>
    <mergeCell ref="R66:R68"/>
    <mergeCell ref="S66:S68"/>
    <mergeCell ref="T66:T68"/>
    <mergeCell ref="K66:K68"/>
    <mergeCell ref="L66:L68"/>
    <mergeCell ref="M66:M68"/>
    <mergeCell ref="N66:N68"/>
    <mergeCell ref="O66:O68"/>
    <mergeCell ref="B66:B69"/>
    <mergeCell ref="C66:C69"/>
    <mergeCell ref="H66:H68"/>
    <mergeCell ref="I66:I68"/>
    <mergeCell ref="J66:J68"/>
    <mergeCell ref="AH62:AH64"/>
    <mergeCell ref="AI62:AI64"/>
    <mergeCell ref="AK62:AK64"/>
    <mergeCell ref="AL62:AL64"/>
    <mergeCell ref="AB62:AB64"/>
    <mergeCell ref="AC62:AC64"/>
    <mergeCell ref="AD62:AD64"/>
    <mergeCell ref="AE62:AE64"/>
    <mergeCell ref="AF62:AF64"/>
    <mergeCell ref="W62:W64"/>
    <mergeCell ref="X62:X64"/>
    <mergeCell ref="Y62:Y64"/>
    <mergeCell ref="Z62:Z64"/>
    <mergeCell ref="AA62:AA64"/>
    <mergeCell ref="R62:R64"/>
    <mergeCell ref="S62:S64"/>
    <mergeCell ref="T62:T64"/>
    <mergeCell ref="U62:U64"/>
    <mergeCell ref="V62:V64"/>
    <mergeCell ref="AI58:AI60"/>
    <mergeCell ref="AK58:AK60"/>
    <mergeCell ref="AL58:AL60"/>
    <mergeCell ref="A62:A65"/>
    <mergeCell ref="B62:B65"/>
    <mergeCell ref="C62:C65"/>
    <mergeCell ref="H62:H64"/>
    <mergeCell ref="I62:I64"/>
    <mergeCell ref="J62:J64"/>
    <mergeCell ref="K62:K64"/>
    <mergeCell ref="L62:L64"/>
    <mergeCell ref="M62:M64"/>
    <mergeCell ref="N62:N64"/>
    <mergeCell ref="O62:O64"/>
    <mergeCell ref="P62:P64"/>
    <mergeCell ref="Q62:Q64"/>
    <mergeCell ref="AD58:AD60"/>
    <mergeCell ref="AE58:AE60"/>
    <mergeCell ref="AF58:AF60"/>
    <mergeCell ref="AG58:AG60"/>
    <mergeCell ref="AH58:AH60"/>
    <mergeCell ref="Y58:Y60"/>
    <mergeCell ref="Z58:Z60"/>
    <mergeCell ref="AA58:AA60"/>
    <mergeCell ref="AB58:AB60"/>
    <mergeCell ref="AC58:AC60"/>
    <mergeCell ref="T58:T60"/>
    <mergeCell ref="U58:U60"/>
    <mergeCell ref="V58:V60"/>
    <mergeCell ref="W58:W60"/>
    <mergeCell ref="X58:X60"/>
    <mergeCell ref="AG62:AG64"/>
    <mergeCell ref="AL54:AL56"/>
    <mergeCell ref="A58:A61"/>
    <mergeCell ref="B58:B61"/>
    <mergeCell ref="C58:C61"/>
    <mergeCell ref="H58:H60"/>
    <mergeCell ref="I58:I60"/>
    <mergeCell ref="J58:J60"/>
    <mergeCell ref="K58:K60"/>
    <mergeCell ref="L58:L60"/>
    <mergeCell ref="M58:M60"/>
    <mergeCell ref="N58:N60"/>
    <mergeCell ref="O58:O60"/>
    <mergeCell ref="P58:P60"/>
    <mergeCell ref="Q58:Q60"/>
    <mergeCell ref="R58:R60"/>
    <mergeCell ref="S58:S60"/>
    <mergeCell ref="AF54:AF56"/>
    <mergeCell ref="AG54:AG56"/>
    <mergeCell ref="AH54:AH56"/>
    <mergeCell ref="AI54:AI56"/>
    <mergeCell ref="AK54:AK56"/>
    <mergeCell ref="AA54:AA56"/>
    <mergeCell ref="AB54:AB56"/>
    <mergeCell ref="AC54:AC56"/>
    <mergeCell ref="AD54:AD56"/>
    <mergeCell ref="AE54:AE56"/>
    <mergeCell ref="V54:V56"/>
    <mergeCell ref="W54:W56"/>
    <mergeCell ref="X54:X56"/>
    <mergeCell ref="Y54:Y56"/>
    <mergeCell ref="Z54:Z56"/>
    <mergeCell ref="Q54:Q56"/>
    <mergeCell ref="R54:R56"/>
    <mergeCell ref="S54:S56"/>
    <mergeCell ref="T54:T56"/>
    <mergeCell ref="U54:U56"/>
    <mergeCell ref="AH50:AH52"/>
    <mergeCell ref="AI50:AI52"/>
    <mergeCell ref="AK50:AK52"/>
    <mergeCell ref="AL50:AL52"/>
    <mergeCell ref="A54:A57"/>
    <mergeCell ref="B54:B57"/>
    <mergeCell ref="C54:C57"/>
    <mergeCell ref="H54:H56"/>
    <mergeCell ref="I54:I56"/>
    <mergeCell ref="J54:J56"/>
    <mergeCell ref="K54:K56"/>
    <mergeCell ref="L54:L56"/>
    <mergeCell ref="M54:M56"/>
    <mergeCell ref="N54:N56"/>
    <mergeCell ref="O54:O56"/>
    <mergeCell ref="P54:P56"/>
    <mergeCell ref="AC50:AC52"/>
    <mergeCell ref="AD50:AD52"/>
    <mergeCell ref="AE50:AE52"/>
    <mergeCell ref="AF50:AF52"/>
    <mergeCell ref="AG50:AG52"/>
    <mergeCell ref="X50:X52"/>
    <mergeCell ref="Y50:Y52"/>
    <mergeCell ref="Z50:Z52"/>
    <mergeCell ref="AA50:AA52"/>
    <mergeCell ref="AB50:AB52"/>
    <mergeCell ref="S50:S52"/>
    <mergeCell ref="T50:T52"/>
    <mergeCell ref="U50:U52"/>
    <mergeCell ref="V50:V52"/>
    <mergeCell ref="W50:W52"/>
    <mergeCell ref="AK46:AK48"/>
    <mergeCell ref="AL46:AL48"/>
    <mergeCell ref="A50:A53"/>
    <mergeCell ref="B50:B53"/>
    <mergeCell ref="C50:C53"/>
    <mergeCell ref="H50:H52"/>
    <mergeCell ref="I50:I52"/>
    <mergeCell ref="J50:J52"/>
    <mergeCell ref="K50:K52"/>
    <mergeCell ref="L50:L52"/>
    <mergeCell ref="M50:M52"/>
    <mergeCell ref="N50:N52"/>
    <mergeCell ref="O50:O52"/>
    <mergeCell ref="P50:P52"/>
    <mergeCell ref="Q50:Q52"/>
    <mergeCell ref="R50:R52"/>
    <mergeCell ref="AE46:AE48"/>
    <mergeCell ref="AF46:AF48"/>
    <mergeCell ref="AG46:AG48"/>
    <mergeCell ref="AH46:AH48"/>
    <mergeCell ref="AI46:AI48"/>
    <mergeCell ref="Z46:Z48"/>
    <mergeCell ref="AA46:AA48"/>
    <mergeCell ref="AB46:AB48"/>
    <mergeCell ref="AC46:AC48"/>
    <mergeCell ref="AD46:AD48"/>
    <mergeCell ref="U46:U48"/>
    <mergeCell ref="V46:V48"/>
    <mergeCell ref="W46:W48"/>
    <mergeCell ref="X46:X48"/>
    <mergeCell ref="Y46:Y48"/>
    <mergeCell ref="P46:P48"/>
    <mergeCell ref="Q46:Q48"/>
    <mergeCell ref="R46:R48"/>
    <mergeCell ref="S46:S48"/>
    <mergeCell ref="T46:T48"/>
    <mergeCell ref="K46:K48"/>
    <mergeCell ref="L46:L48"/>
    <mergeCell ref="M46:M48"/>
    <mergeCell ref="N46:N48"/>
    <mergeCell ref="O46:O48"/>
    <mergeCell ref="B46:B49"/>
    <mergeCell ref="C46:C49"/>
    <mergeCell ref="H46:H48"/>
    <mergeCell ref="I46:I48"/>
    <mergeCell ref="J46:J48"/>
    <mergeCell ref="AH42:AH44"/>
    <mergeCell ref="AI42:AI44"/>
    <mergeCell ref="AK42:AK44"/>
    <mergeCell ref="AL42:AL44"/>
    <mergeCell ref="AB42:AB44"/>
    <mergeCell ref="AC42:AC44"/>
    <mergeCell ref="AD42:AD44"/>
    <mergeCell ref="AE42:AE44"/>
    <mergeCell ref="AF42:AF44"/>
    <mergeCell ref="W42:W44"/>
    <mergeCell ref="X42:X44"/>
    <mergeCell ref="Y42:Y44"/>
    <mergeCell ref="Z42:Z44"/>
    <mergeCell ref="AA42:AA44"/>
    <mergeCell ref="R42:R44"/>
    <mergeCell ref="S42:S44"/>
    <mergeCell ref="T42:T44"/>
    <mergeCell ref="U42:U44"/>
    <mergeCell ref="V42:V44"/>
    <mergeCell ref="AI38:AI40"/>
    <mergeCell ref="AK38:AK40"/>
    <mergeCell ref="AL38:AL40"/>
    <mergeCell ref="A42:A45"/>
    <mergeCell ref="B42:B45"/>
    <mergeCell ref="C42:C45"/>
    <mergeCell ref="H42:H44"/>
    <mergeCell ref="I42:I44"/>
    <mergeCell ref="J42:J44"/>
    <mergeCell ref="K42:K44"/>
    <mergeCell ref="L42:L44"/>
    <mergeCell ref="M42:M44"/>
    <mergeCell ref="N42:N44"/>
    <mergeCell ref="O42:O44"/>
    <mergeCell ref="P42:P44"/>
    <mergeCell ref="Q42:Q44"/>
    <mergeCell ref="AD38:AD40"/>
    <mergeCell ref="AE38:AE40"/>
    <mergeCell ref="AF38:AF40"/>
    <mergeCell ref="AG38:AG40"/>
    <mergeCell ref="AH38:AH40"/>
    <mergeCell ref="Y38:Y40"/>
    <mergeCell ref="Z38:Z40"/>
    <mergeCell ref="AA38:AA40"/>
    <mergeCell ref="AB38:AB40"/>
    <mergeCell ref="AC38:AC40"/>
    <mergeCell ref="T38:T40"/>
    <mergeCell ref="U38:U40"/>
    <mergeCell ref="V38:V40"/>
    <mergeCell ref="W38:W40"/>
    <mergeCell ref="X38:X40"/>
    <mergeCell ref="AG42:AG44"/>
    <mergeCell ref="AL34:AL36"/>
    <mergeCell ref="A38:A41"/>
    <mergeCell ref="B38:B41"/>
    <mergeCell ref="C38:C41"/>
    <mergeCell ref="H38:H40"/>
    <mergeCell ref="I38:I40"/>
    <mergeCell ref="J38:J40"/>
    <mergeCell ref="K38:K40"/>
    <mergeCell ref="L38:L40"/>
    <mergeCell ref="M38:M40"/>
    <mergeCell ref="N38:N40"/>
    <mergeCell ref="O38:O40"/>
    <mergeCell ref="P38:P40"/>
    <mergeCell ref="Q38:Q40"/>
    <mergeCell ref="R38:R40"/>
    <mergeCell ref="S38:S40"/>
    <mergeCell ref="AF34:AF36"/>
    <mergeCell ref="AG34:AG36"/>
    <mergeCell ref="AH34:AH36"/>
    <mergeCell ref="AI34:AI36"/>
    <mergeCell ref="AK34:AK36"/>
    <mergeCell ref="AA34:AA36"/>
    <mergeCell ref="AB34:AB36"/>
    <mergeCell ref="AC34:AC36"/>
    <mergeCell ref="AD34:AD36"/>
    <mergeCell ref="AE34:AE36"/>
    <mergeCell ref="V34:V36"/>
    <mergeCell ref="W34:W36"/>
    <mergeCell ref="X34:X36"/>
    <mergeCell ref="Y34:Y36"/>
    <mergeCell ref="Z34:Z36"/>
    <mergeCell ref="Q34:Q36"/>
    <mergeCell ref="R34:R36"/>
    <mergeCell ref="S34:S36"/>
    <mergeCell ref="T34:T36"/>
    <mergeCell ref="U34:U36"/>
    <mergeCell ref="AH30:AH32"/>
    <mergeCell ref="AI30:AI32"/>
    <mergeCell ref="AK30:AK32"/>
    <mergeCell ref="AL30:AL32"/>
    <mergeCell ref="A34:A37"/>
    <mergeCell ref="B34:B37"/>
    <mergeCell ref="C34:C37"/>
    <mergeCell ref="H34:H36"/>
    <mergeCell ref="I34:I36"/>
    <mergeCell ref="J34:J36"/>
    <mergeCell ref="K34:K36"/>
    <mergeCell ref="L34:L36"/>
    <mergeCell ref="M34:M36"/>
    <mergeCell ref="N34:N36"/>
    <mergeCell ref="O34:O36"/>
    <mergeCell ref="P34:P36"/>
    <mergeCell ref="AC30:AC32"/>
    <mergeCell ref="AD30:AD32"/>
    <mergeCell ref="AE30:AE32"/>
    <mergeCell ref="AF30:AF32"/>
    <mergeCell ref="AG30:AG32"/>
    <mergeCell ref="X30:X32"/>
    <mergeCell ref="Y30:Y32"/>
    <mergeCell ref="Z30:Z32"/>
    <mergeCell ref="AA30:AA32"/>
    <mergeCell ref="AB30:AB32"/>
    <mergeCell ref="S30:S32"/>
    <mergeCell ref="T30:T32"/>
    <mergeCell ref="U30:U32"/>
    <mergeCell ref="V30:V32"/>
    <mergeCell ref="W30:W32"/>
    <mergeCell ref="AK26:AK28"/>
    <mergeCell ref="AL26:AL28"/>
    <mergeCell ref="A30:A33"/>
    <mergeCell ref="B30:B33"/>
    <mergeCell ref="C30:C33"/>
    <mergeCell ref="H30:H32"/>
    <mergeCell ref="I30:I32"/>
    <mergeCell ref="J30:J32"/>
    <mergeCell ref="K30:K32"/>
    <mergeCell ref="L30:L32"/>
    <mergeCell ref="M30:M32"/>
    <mergeCell ref="N30:N32"/>
    <mergeCell ref="O30:O32"/>
    <mergeCell ref="P30:P32"/>
    <mergeCell ref="Q30:Q32"/>
    <mergeCell ref="R30:R32"/>
    <mergeCell ref="AE26:AE28"/>
    <mergeCell ref="AF26:AF28"/>
    <mergeCell ref="AG26:AG28"/>
    <mergeCell ref="AH26:AH28"/>
    <mergeCell ref="AI26:AI28"/>
    <mergeCell ref="Z26:Z28"/>
    <mergeCell ref="AA26:AA28"/>
    <mergeCell ref="AB26:AB28"/>
    <mergeCell ref="AC26:AC28"/>
    <mergeCell ref="AD26:AD28"/>
    <mergeCell ref="U26:U28"/>
    <mergeCell ref="V26:V28"/>
    <mergeCell ref="W26:W28"/>
    <mergeCell ref="X26:X28"/>
    <mergeCell ref="Y26:Y28"/>
    <mergeCell ref="P26:P28"/>
    <mergeCell ref="Q26:Q28"/>
    <mergeCell ref="R26:R28"/>
    <mergeCell ref="S26:S28"/>
    <mergeCell ref="T26:T28"/>
    <mergeCell ref="K26:K28"/>
    <mergeCell ref="L26:L28"/>
    <mergeCell ref="M26:M28"/>
    <mergeCell ref="N26:N28"/>
    <mergeCell ref="O26:O28"/>
    <mergeCell ref="B26:B29"/>
    <mergeCell ref="C26:C29"/>
    <mergeCell ref="H26:H28"/>
    <mergeCell ref="I26:I28"/>
    <mergeCell ref="J26:J28"/>
    <mergeCell ref="AH22:AH24"/>
    <mergeCell ref="AI22:AI24"/>
    <mergeCell ref="AK22:AK24"/>
    <mergeCell ref="AL22:AL24"/>
    <mergeCell ref="AB22:AB24"/>
    <mergeCell ref="AC22:AC24"/>
    <mergeCell ref="AD22:AD24"/>
    <mergeCell ref="AE22:AE24"/>
    <mergeCell ref="AF22:AF24"/>
    <mergeCell ref="W22:W24"/>
    <mergeCell ref="X22:X24"/>
    <mergeCell ref="Y22:Y24"/>
    <mergeCell ref="Z22:Z24"/>
    <mergeCell ref="AA22:AA24"/>
    <mergeCell ref="R22:R24"/>
    <mergeCell ref="S22:S24"/>
    <mergeCell ref="T22:T24"/>
    <mergeCell ref="U22:U24"/>
    <mergeCell ref="V22:V24"/>
    <mergeCell ref="AI18:AI20"/>
    <mergeCell ref="AK18:AK20"/>
    <mergeCell ref="AL18:AL20"/>
    <mergeCell ref="A22:A25"/>
    <mergeCell ref="B22:B25"/>
    <mergeCell ref="C22:C25"/>
    <mergeCell ref="H22:H24"/>
    <mergeCell ref="I22:I24"/>
    <mergeCell ref="J22:J24"/>
    <mergeCell ref="K22:K24"/>
    <mergeCell ref="L22:L24"/>
    <mergeCell ref="M22:M24"/>
    <mergeCell ref="N22:N24"/>
    <mergeCell ref="O22:O24"/>
    <mergeCell ref="P22:P24"/>
    <mergeCell ref="Q22:Q24"/>
    <mergeCell ref="AD18:AD20"/>
    <mergeCell ref="AE18:AE20"/>
    <mergeCell ref="AF18:AF20"/>
    <mergeCell ref="AG18:AG20"/>
    <mergeCell ref="AH18:AH20"/>
    <mergeCell ref="Y18:Y20"/>
    <mergeCell ref="Z18:Z20"/>
    <mergeCell ref="AA18:AA20"/>
    <mergeCell ref="AB18:AB20"/>
    <mergeCell ref="AC18:AC20"/>
    <mergeCell ref="T18:T20"/>
    <mergeCell ref="U18:U20"/>
    <mergeCell ref="V18:V20"/>
    <mergeCell ref="W18:W20"/>
    <mergeCell ref="X18:X20"/>
    <mergeCell ref="AG22:AG24"/>
    <mergeCell ref="A18:A21"/>
    <mergeCell ref="B18:B21"/>
    <mergeCell ref="C18:C21"/>
    <mergeCell ref="H18:H20"/>
    <mergeCell ref="I18:I20"/>
    <mergeCell ref="J18:J20"/>
    <mergeCell ref="K18:K20"/>
    <mergeCell ref="L18:L20"/>
    <mergeCell ref="M18:M20"/>
    <mergeCell ref="N18:N20"/>
    <mergeCell ref="O18:O20"/>
    <mergeCell ref="P18:P20"/>
    <mergeCell ref="Q18:Q20"/>
    <mergeCell ref="R18:R20"/>
    <mergeCell ref="S18:S20"/>
    <mergeCell ref="AF14:AF16"/>
    <mergeCell ref="AG14:AG16"/>
    <mergeCell ref="AA14:AA16"/>
    <mergeCell ref="AB14:AB16"/>
    <mergeCell ref="AC14:AC16"/>
    <mergeCell ref="AD14:AD16"/>
    <mergeCell ref="AE14:AE16"/>
    <mergeCell ref="V14:V16"/>
    <mergeCell ref="W14:W16"/>
    <mergeCell ref="X14:X16"/>
    <mergeCell ref="Y14:Y16"/>
    <mergeCell ref="Z14:Z16"/>
    <mergeCell ref="Q14:Q16"/>
    <mergeCell ref="R10:R12"/>
    <mergeCell ref="AE6:AE8"/>
    <mergeCell ref="AK10:AK12"/>
    <mergeCell ref="AL10:AL12"/>
    <mergeCell ref="A14:A17"/>
    <mergeCell ref="B14:B17"/>
    <mergeCell ref="C14:C17"/>
    <mergeCell ref="H14:H16"/>
    <mergeCell ref="I14:I16"/>
    <mergeCell ref="J14:J16"/>
    <mergeCell ref="K14:K16"/>
    <mergeCell ref="L14:L16"/>
    <mergeCell ref="M14:M16"/>
    <mergeCell ref="N14:N16"/>
    <mergeCell ref="O14:O16"/>
    <mergeCell ref="P14:P16"/>
    <mergeCell ref="AC10:AC12"/>
    <mergeCell ref="AD10:AD12"/>
    <mergeCell ref="AE10:AE12"/>
    <mergeCell ref="AF10:AF12"/>
    <mergeCell ref="AG10:AG12"/>
    <mergeCell ref="X10:X12"/>
    <mergeCell ref="Y10:Y12"/>
    <mergeCell ref="Z10:Z12"/>
    <mergeCell ref="AA10:AA12"/>
    <mergeCell ref="AB10:AB12"/>
    <mergeCell ref="S10:S12"/>
    <mergeCell ref="T10:T12"/>
    <mergeCell ref="AL14:AL16"/>
    <mergeCell ref="AH14:AH16"/>
    <mergeCell ref="AI14:AI16"/>
    <mergeCell ref="AK14:AK16"/>
    <mergeCell ref="V10:V12"/>
    <mergeCell ref="W10:W12"/>
    <mergeCell ref="AH6:AH8"/>
    <mergeCell ref="AI6:AI8"/>
    <mergeCell ref="Z6:Z8"/>
    <mergeCell ref="AA6:AA8"/>
    <mergeCell ref="AB6:AB8"/>
    <mergeCell ref="AC6:AC8"/>
    <mergeCell ref="AD6:AD8"/>
    <mergeCell ref="U6:U8"/>
    <mergeCell ref="V6:V8"/>
    <mergeCell ref="W6:W8"/>
    <mergeCell ref="A6:A9"/>
    <mergeCell ref="R14:R16"/>
    <mergeCell ref="S14:S16"/>
    <mergeCell ref="T14:T16"/>
    <mergeCell ref="U14:U16"/>
    <mergeCell ref="AH10:AH12"/>
    <mergeCell ref="AI10:AI12"/>
    <mergeCell ref="A10:A13"/>
    <mergeCell ref="B10:B13"/>
    <mergeCell ref="C10:C13"/>
    <mergeCell ref="H10:H12"/>
    <mergeCell ref="I10:I12"/>
    <mergeCell ref="J10:J12"/>
    <mergeCell ref="K10:K12"/>
    <mergeCell ref="L10:L12"/>
    <mergeCell ref="M10:M12"/>
    <mergeCell ref="N10:N12"/>
    <mergeCell ref="O10:O12"/>
    <mergeCell ref="P10:P12"/>
    <mergeCell ref="Q10:Q12"/>
    <mergeCell ref="AK6:AK8"/>
    <mergeCell ref="AL6:AL8"/>
    <mergeCell ref="AF6:AF8"/>
    <mergeCell ref="AG6:AG8"/>
    <mergeCell ref="A26:A29"/>
    <mergeCell ref="A46:A49"/>
    <mergeCell ref="A66:A69"/>
    <mergeCell ref="A86:A89"/>
    <mergeCell ref="A106:A109"/>
    <mergeCell ref="A126:A129"/>
    <mergeCell ref="A130:D130"/>
    <mergeCell ref="A1:AM1"/>
    <mergeCell ref="A2:AM2"/>
    <mergeCell ref="A3:AL3"/>
    <mergeCell ref="X6:X8"/>
    <mergeCell ref="Y6:Y8"/>
    <mergeCell ref="P6:P8"/>
    <mergeCell ref="Q6:Q8"/>
    <mergeCell ref="R6:R8"/>
    <mergeCell ref="S6:S8"/>
    <mergeCell ref="T6:T8"/>
    <mergeCell ref="K6:K8"/>
    <mergeCell ref="L6:L8"/>
    <mergeCell ref="M6:M8"/>
    <mergeCell ref="N6:N8"/>
    <mergeCell ref="O6:O8"/>
    <mergeCell ref="B6:B9"/>
    <mergeCell ref="C6:C9"/>
    <mergeCell ref="H6:H8"/>
    <mergeCell ref="I6:I8"/>
    <mergeCell ref="J6:J8"/>
    <mergeCell ref="U10:U12"/>
  </mergeCells>
  <conditionalFormatting sqref="A6:F129">
    <cfRule type="expression" dxfId="10" priority="4">
      <formula>TEXT($A4,"ddd")="Fri"</formula>
    </cfRule>
    <cfRule type="expression" dxfId="9" priority="5">
      <formula>TEXT($A5,"ddd")="Fri"</formula>
    </cfRule>
    <cfRule type="expression" dxfId="8" priority="6">
      <formula>TEXT($A3,"ddd")="Fri"</formula>
    </cfRule>
  </conditionalFormatting>
  <conditionalFormatting sqref="A130:AM130">
    <cfRule type="expression" dxfId="7" priority="1">
      <formula>TEXT($A128,"ddd")="Fri"</formula>
    </cfRule>
    <cfRule type="expression" dxfId="6" priority="2">
      <formula>TEXT($A129,"ddd")="Fri"</formula>
    </cfRule>
    <cfRule type="expression" dxfId="5" priority="3">
      <formula>TEXT($A130,"ddd")="Fri"</formula>
    </cfRule>
  </conditionalFormatting>
  <conditionalFormatting sqref="G6:AM6 J9:AL9 G10:AM10 J13:AL13 G14:AM14 J17:AL17 G18:AM18 J21:AL21 G22:AM22 J25:AL25 G26:AM26 J29:AL29 G30:AM30 J33:AL33 G34:AM34 J37:AL37 G38:AM38 J41:AL41 G42:AM42 J45:AL45 G46:AM46 J49:AL49 G50:AM50 J53:AL53 G54:AM54 J57:AL57 G58:AM58 J61:AL61 G62:AM62 J65:AL65 G66:AM66 J69:AL69 G70:AM70 J73:AL73 G74:AM74 J77:AL77 G78:AM78 J81:AL81 G82:AM82 J85:AL85 G86:AM86 J89:AL89 G90:AM90 J93:AL93 G94:AM94 J97:AL97 G98:AM98 J101:AL101 G102:AM102 J105:AL105 G106:AM106 J109:AL109 G110:AM110 J113:AL113 G114:AM114 J117:AL117 G118:AM118 J121:AL121 G122:AM122 J125:AL125 G126:AM126 J129:AL129 A6:E6 F6:F129 AJ7:AJ8 D7:E9 G7:G9 A10:E10 AJ11:AJ12 D11:E13 G11:G13 A14:E14 AJ15:AJ16 D15:E17 G15:G17 A18:E18 AJ19:AJ20 D19:E21 G19:G21 A22:E22 AJ23:AJ24 D23:E25 G23:G25 A26:E26 AJ27:AJ28 D27:E29 G27:G29 A30:E30 AJ31:AJ32 D31:E33 G31:G33 A34:E34 AJ35:AJ36 D35:E37 G35:G37 A38:E38 AJ39:AJ40 D39:E41 G39:G41 A42:E42 AJ43:AJ44 D43:E45 G43:G45 A46:E46 AJ47:AJ48 D47:E49 G47:G49 A50:E50 AJ51:AJ52 D51:E53 G51:G53 A54:E54 AJ55:AJ56 D55:E57 G55:G57 A58:E58 AJ59:AJ60 D59:E61 G59:G61 A62:E62 AJ63:AJ64 D63:E65 G63:G65 A66:E66 AJ67:AJ68 D67:E69 G67:G69 A70:E70 AJ71:AJ72 D71:E73 G71:G73 A74:E74 AJ75:AJ76 D75:E77 G75:G77 A78:E78 AJ79:AJ80 D79:E81 G79:G81 A82:E82 AJ83:AJ84 D83:E85 G83:G85 A86:E86 AJ87:AJ88 D87:E89 G87:G89 A90:E90 AJ91:AJ92 D91:E93 G91:G93 A94:E94 AJ95:AJ96 D95:E97 G95:G97 A98:E98 AJ99:AJ100 D99:E101 G99:G101 A102:E102 AJ103:AJ104 D103:E105 G103:G105 A106:E106 AJ107:AJ108 D107:E109 G107:G109 A110:E110 AJ111:AJ112 D111:E113 G111:G113 A114:E114 AJ115:AJ116 D115:E117 G115:G117 A118:E118 AJ119:AJ120 D119:E121 G119:G121 A122:E122 AJ123:AJ124 D123:E125 G123:G125 A126:E126 AJ127:AJ128 D127:E129 G127:G129">
    <cfRule type="expression" dxfId="4" priority="18">
      <formula>TEXT($A6,"ddd")="Fri"</formula>
    </cfRule>
  </conditionalFormatting>
  <conditionalFormatting sqref="J6:AM6 G6:I8 J7:AL8 G9:AL9 J10:AM10 G10:I12 J11:AL12 G13:AL13 J14:AM14 G14:I16 J15:AL16 G17:AL17 J18:AM18 G18:I20 J19:AL20 G21:AL21 J22:AM22 G22:I24 J23:AL24 G25:AL25 J26:AM26 G26:I28 J27:AL28 G29:AL29 J30:AM30 G30:I32 J31:AL32 G33:AL33 J34:AM34 G34:I36 J35:AL36 G37:AL37 J38:AM38 G38:I40 J39:AL40 G41:AL41 J42:AM42 G42:I44 J43:AL44 G45:AL45 J46:AM46 G46:I48 J47:AL48 G49:AL49 J50:AM50 G50:I52 J51:AL52 G53:AL53 J54:AM54 G54:I56 J55:AL56 G57:AL57 J58:AM58 G58:I60 J59:AL60 G61:AL61 J62:AM62 G62:I64 J63:AL64 G65:AL65 J66:AM66 G66:I68 J67:AL68 G69:AL69 J70:AM70 G70:I72 J71:AL72 G73:AL73 J74:AM74 G74:I76 J75:AL76 G77:AL77 J78:AM78 G78:I80 J79:AL80 G81:AL81 J82:AM82 G82:I84 J83:AL84 G85:AL85 J86:AM86 G86:I88 J87:AL88 G89:AL89 J90:AM90 G90:I92 J91:AL92 G93:AL93 J94:AM94 G94:I96 J95:AL96 G97:AL97 J98:AM98 G98:I100 J99:AL100 G101:AL101 J102:AM102 G102:I104 J103:AL104 G105:AL105 J106:AM106 G106:I108 J107:AL108 G109:AL109 J110:AM110 G110:I112 J111:AL112 G113:AL113 J114:AM114 G114:I116 J115:AL116 G117:AL117 J118:AM118 G118:I120 J119:AL120 G121:AL121 J122:AM122 G122:I124 J123:AL124 G125:AL125 J126:AM126 G126:I128 J127:AL128 G129:AL129">
    <cfRule type="expression" dxfId="3" priority="14">
      <formula>TEXT($A4,"ddd")="Fri"</formula>
    </cfRule>
    <cfRule type="expression" dxfId="2" priority="15">
      <formula>TEXT($A5,"ddd")="Fri"</formula>
    </cfRule>
    <cfRule type="expression" dxfId="1" priority="16">
      <formula>TEXT($A3,"ddd")="Fri"</formula>
    </cfRule>
  </conditionalFormatting>
  <conditionalFormatting sqref="K6:AG6 K9:AG10 K13:AG14 K17:AG18 K21:AG22 K25:AG26 K29:AG30 K33:AG34 K37:AG38 K41:AG42 K45:AG46 K49:AG50 K53:AG54 K57:AG58 K61:AG62 K65:AG66 K69:AG70 K73:AG74 K77:AG78 K81:AG82 K85:AG86 K89:AG90 K93:AG94 K97:AG98 K101:AG102 K105:AG106 K109:AG110 K113:AG114 K117:AG118 K121:AG122 K125:AG126 K129:AG129">
    <cfRule type="cellIs" dxfId="0" priority="17" operator="greaterThan">
      <formula>0</formula>
    </cfRule>
  </conditionalFormatting>
  <pageMargins left="0.1" right="0.25" top="0.53" bottom="0.03" header="0" footer="0"/>
  <pageSetup paperSize="9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8</vt:i4>
      </vt:variant>
    </vt:vector>
  </HeadingPairs>
  <TitlesOfParts>
    <vt:vector size="21" baseType="lpstr">
      <vt:lpstr>Summary of OEE</vt:lpstr>
      <vt:lpstr>OEE</vt:lpstr>
      <vt:lpstr>Production Status</vt:lpstr>
      <vt:lpstr>Down Time</vt:lpstr>
      <vt:lpstr>TOP</vt:lpstr>
      <vt:lpstr>Fan Assemble</vt:lpstr>
      <vt:lpstr>Fan Armature</vt:lpstr>
      <vt:lpstr>Fan Power Press &amp; Stamping</vt:lpstr>
      <vt:lpstr>Fan Auto Die Casting</vt:lpstr>
      <vt:lpstr>Fan Rechargeable</vt:lpstr>
      <vt:lpstr>Exhaust Fan</vt:lpstr>
      <vt:lpstr>Fan Lathe</vt:lpstr>
      <vt:lpstr>Auto Powder Coating</vt:lpstr>
      <vt:lpstr>'Auto Powder Coating'!Print_Area</vt:lpstr>
      <vt:lpstr>'Exhaust Fan'!Print_Area</vt:lpstr>
      <vt:lpstr>'Fan Armature'!Print_Area</vt:lpstr>
      <vt:lpstr>'Fan Assemble'!Print_Area</vt:lpstr>
      <vt:lpstr>'Fan Auto Die Casting'!Print_Area</vt:lpstr>
      <vt:lpstr>'Fan Lathe'!Print_Area</vt:lpstr>
      <vt:lpstr>'Fan Power Press &amp; Stamping'!Print_Area</vt:lpstr>
      <vt:lpstr>'Fan Rechargeable'!Print_Area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Ahmed</dc:creator>
  <cp:lastModifiedBy>Arif Ahmed</cp:lastModifiedBy>
  <dcterms:created xsi:type="dcterms:W3CDTF">2025-11-02T06:11:41Z</dcterms:created>
  <dcterms:modified xsi:type="dcterms:W3CDTF">2026-08-23T08:38:09Z</dcterms:modified>
</cp:coreProperties>
</file>