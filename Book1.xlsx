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_DRIVE_NEVER_EVER_DELETE\New folder (2)\"/>
    </mc:Choice>
  </mc:AlternateContent>
  <xr:revisionPtr revIDLastSave="0" documentId="8_{4727E466-F7E6-4C25-9683-434F3309458F}" xr6:coauthVersionLast="47" xr6:coauthVersionMax="47" xr10:uidLastSave="{00000000-0000-0000-0000-000000000000}"/>
  <bookViews>
    <workbookView xWindow="-120" yWindow="-120" windowWidth="29040" windowHeight="15840" xr2:uid="{A1EDBA59-811A-4CAD-9C16-957AC023FEFA}"/>
  </bookViews>
  <sheets>
    <sheet name="Fan Lathe" sheetId="1" r:id="rId1"/>
  </sheets>
  <externalReferences>
    <externalReference r:id="rId2"/>
  </externalReferences>
  <definedNames>
    <definedName name="_xlnm.Print_Area" localSheetId="0">'Fan Lathe'!$A$1:$AM$99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99" i="1" l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H99" i="1"/>
  <c r="G99" i="1"/>
  <c r="F99" i="1"/>
  <c r="E99" i="1"/>
  <c r="AK98" i="1"/>
  <c r="AL98" i="1" s="1"/>
  <c r="AJ98" i="1"/>
  <c r="AH98" i="1"/>
  <c r="J98" i="1"/>
  <c r="AI98" i="1" s="1"/>
  <c r="I98" i="1"/>
  <c r="AK97" i="1"/>
  <c r="AL97" i="1" s="1"/>
  <c r="AJ97" i="1"/>
  <c r="AH97" i="1"/>
  <c r="J97" i="1" s="1"/>
  <c r="AI97" i="1" s="1"/>
  <c r="I97" i="1"/>
  <c r="AK96" i="1"/>
  <c r="AL96" i="1" s="1"/>
  <c r="AJ96" i="1"/>
  <c r="AH96" i="1"/>
  <c r="J96" i="1"/>
  <c r="AI96" i="1" s="1"/>
  <c r="I96" i="1"/>
  <c r="AK95" i="1"/>
  <c r="AL95" i="1" s="1"/>
  <c r="AJ95" i="1"/>
  <c r="AH95" i="1"/>
  <c r="J95" i="1" s="1"/>
  <c r="AI95" i="1" s="1"/>
  <c r="I95" i="1"/>
  <c r="AK94" i="1"/>
  <c r="AL94" i="1" s="1"/>
  <c r="AJ94" i="1"/>
  <c r="AH94" i="1"/>
  <c r="J94" i="1" s="1"/>
  <c r="AI94" i="1" s="1"/>
  <c r="I94" i="1"/>
  <c r="AK93" i="1"/>
  <c r="AJ93" i="1"/>
  <c r="AH93" i="1"/>
  <c r="J93" i="1" s="1"/>
  <c r="AI93" i="1" s="1"/>
  <c r="I93" i="1"/>
  <c r="AK92" i="1"/>
  <c r="AJ92" i="1"/>
  <c r="AH92" i="1"/>
  <c r="J92" i="1" s="1"/>
  <c r="AI92" i="1" s="1"/>
  <c r="I92" i="1"/>
  <c r="AK91" i="1"/>
  <c r="AJ91" i="1"/>
  <c r="AH91" i="1"/>
  <c r="J91" i="1" s="1"/>
  <c r="AI91" i="1" s="1"/>
  <c r="I91" i="1"/>
  <c r="AK90" i="1"/>
  <c r="AJ90" i="1"/>
  <c r="AH90" i="1"/>
  <c r="J90" i="1" s="1"/>
  <c r="AI90" i="1" s="1"/>
  <c r="I90" i="1"/>
  <c r="AK89" i="1"/>
  <c r="AJ89" i="1"/>
  <c r="AH89" i="1"/>
  <c r="J89" i="1" s="1"/>
  <c r="AI89" i="1" s="1"/>
  <c r="I89" i="1"/>
  <c r="AK88" i="1"/>
  <c r="AJ88" i="1"/>
  <c r="AH88" i="1"/>
  <c r="J88" i="1" s="1"/>
  <c r="AI88" i="1" s="1"/>
  <c r="I88" i="1"/>
  <c r="AK87" i="1"/>
  <c r="AJ87" i="1"/>
  <c r="AH87" i="1"/>
  <c r="J87" i="1" s="1"/>
  <c r="AI87" i="1" s="1"/>
  <c r="I87" i="1"/>
  <c r="AK86" i="1"/>
  <c r="AJ86" i="1"/>
  <c r="AH86" i="1"/>
  <c r="J86" i="1" s="1"/>
  <c r="AI86" i="1" s="1"/>
  <c r="I86" i="1"/>
  <c r="AK85" i="1"/>
  <c r="AJ85" i="1"/>
  <c r="AH85" i="1"/>
  <c r="J85" i="1"/>
  <c r="AI85" i="1" s="1"/>
  <c r="I85" i="1"/>
  <c r="AK84" i="1"/>
  <c r="AJ84" i="1"/>
  <c r="AH84" i="1"/>
  <c r="J84" i="1"/>
  <c r="AI84" i="1" s="1"/>
  <c r="I84" i="1"/>
  <c r="AK83" i="1"/>
  <c r="AJ83" i="1"/>
  <c r="AH83" i="1"/>
  <c r="J83" i="1" s="1"/>
  <c r="AI83" i="1" s="1"/>
  <c r="I83" i="1"/>
  <c r="AK82" i="1"/>
  <c r="AJ82" i="1"/>
  <c r="AH82" i="1"/>
  <c r="J82" i="1"/>
  <c r="AI82" i="1" s="1"/>
  <c r="I82" i="1"/>
  <c r="AK81" i="1"/>
  <c r="AJ81" i="1"/>
  <c r="AH81" i="1"/>
  <c r="J81" i="1"/>
  <c r="AI81" i="1" s="1"/>
  <c r="I81" i="1"/>
  <c r="AK80" i="1"/>
  <c r="AJ80" i="1"/>
  <c r="AH80" i="1"/>
  <c r="J80" i="1"/>
  <c r="AI80" i="1" s="1"/>
  <c r="I80" i="1"/>
  <c r="AK79" i="1"/>
  <c r="AJ79" i="1"/>
  <c r="AH79" i="1"/>
  <c r="J79" i="1"/>
  <c r="AI79" i="1" s="1"/>
  <c r="I79" i="1"/>
  <c r="AK78" i="1"/>
  <c r="AJ78" i="1"/>
  <c r="AH78" i="1"/>
  <c r="J78" i="1"/>
  <c r="AI78" i="1" s="1"/>
  <c r="I78" i="1"/>
  <c r="AK77" i="1"/>
  <c r="AJ77" i="1"/>
  <c r="AH77" i="1"/>
  <c r="J77" i="1"/>
  <c r="AI77" i="1" s="1"/>
  <c r="I77" i="1"/>
  <c r="AK76" i="1"/>
  <c r="AJ76" i="1"/>
  <c r="AH76" i="1"/>
  <c r="J76" i="1"/>
  <c r="AI76" i="1" s="1"/>
  <c r="I76" i="1"/>
  <c r="AK75" i="1"/>
  <c r="AJ75" i="1"/>
  <c r="AH75" i="1"/>
  <c r="J75" i="1"/>
  <c r="AI75" i="1" s="1"/>
  <c r="I75" i="1"/>
  <c r="AK74" i="1"/>
  <c r="AJ74" i="1"/>
  <c r="AH74" i="1"/>
  <c r="J74" i="1"/>
  <c r="AI74" i="1" s="1"/>
  <c r="I74" i="1"/>
  <c r="AK73" i="1"/>
  <c r="AJ73" i="1"/>
  <c r="AH73" i="1"/>
  <c r="J73" i="1"/>
  <c r="AI73" i="1" s="1"/>
  <c r="I73" i="1"/>
  <c r="AK72" i="1"/>
  <c r="AJ72" i="1"/>
  <c r="AH72" i="1"/>
  <c r="J72" i="1"/>
  <c r="AI72" i="1" s="1"/>
  <c r="I72" i="1"/>
  <c r="AK71" i="1"/>
  <c r="AJ71" i="1"/>
  <c r="AH71" i="1"/>
  <c r="J71" i="1"/>
  <c r="AI71" i="1" s="1"/>
  <c r="I71" i="1"/>
  <c r="AK70" i="1"/>
  <c r="AJ70" i="1"/>
  <c r="AH70" i="1"/>
  <c r="J70" i="1" s="1"/>
  <c r="AI70" i="1" s="1"/>
  <c r="I70" i="1"/>
  <c r="AK69" i="1"/>
  <c r="AJ69" i="1"/>
  <c r="AH69" i="1"/>
  <c r="J69" i="1" s="1"/>
  <c r="AI69" i="1" s="1"/>
  <c r="I69" i="1"/>
  <c r="AK68" i="1"/>
  <c r="AJ68" i="1"/>
  <c r="AH68" i="1"/>
  <c r="J68" i="1" s="1"/>
  <c r="AI68" i="1" s="1"/>
  <c r="I68" i="1"/>
  <c r="AK67" i="1"/>
  <c r="AJ67" i="1"/>
  <c r="AH67" i="1"/>
  <c r="J67" i="1" s="1"/>
  <c r="AI67" i="1" s="1"/>
  <c r="I67" i="1"/>
  <c r="AK66" i="1"/>
  <c r="AJ66" i="1"/>
  <c r="AH66" i="1"/>
  <c r="J66" i="1" s="1"/>
  <c r="AI66" i="1" s="1"/>
  <c r="I66" i="1"/>
  <c r="AK65" i="1"/>
  <c r="AL65" i="1" s="1"/>
  <c r="AJ65" i="1"/>
  <c r="AH65" i="1"/>
  <c r="J65" i="1" s="1"/>
  <c r="AI65" i="1" s="1"/>
  <c r="I65" i="1"/>
  <c r="AK64" i="1"/>
  <c r="AJ64" i="1"/>
  <c r="AH64" i="1"/>
  <c r="J64" i="1" s="1"/>
  <c r="AI64" i="1" s="1"/>
  <c r="I64" i="1"/>
  <c r="AK63" i="1"/>
  <c r="AL63" i="1" s="1"/>
  <c r="AJ63" i="1"/>
  <c r="AH63" i="1"/>
  <c r="J63" i="1" s="1"/>
  <c r="AI63" i="1" s="1"/>
  <c r="I63" i="1"/>
  <c r="AK62" i="1"/>
  <c r="AJ62" i="1"/>
  <c r="AH62" i="1"/>
  <c r="J62" i="1" s="1"/>
  <c r="AI62" i="1" s="1"/>
  <c r="I62" i="1"/>
  <c r="AK61" i="1"/>
  <c r="AL61" i="1" s="1"/>
  <c r="AJ61" i="1"/>
  <c r="AH61" i="1"/>
  <c r="J61" i="1" s="1"/>
  <c r="AI61" i="1" s="1"/>
  <c r="I61" i="1"/>
  <c r="AK60" i="1"/>
  <c r="AJ60" i="1"/>
  <c r="AH60" i="1"/>
  <c r="J60" i="1" s="1"/>
  <c r="AI60" i="1" s="1"/>
  <c r="I60" i="1"/>
  <c r="AK59" i="1"/>
  <c r="AL59" i="1" s="1"/>
  <c r="AJ59" i="1"/>
  <c r="AH59" i="1"/>
  <c r="J59" i="1" s="1"/>
  <c r="AI59" i="1" s="1"/>
  <c r="I59" i="1"/>
  <c r="AK58" i="1"/>
  <c r="AL58" i="1" s="1"/>
  <c r="AJ58" i="1"/>
  <c r="AH58" i="1"/>
  <c r="J58" i="1" s="1"/>
  <c r="AI58" i="1" s="1"/>
  <c r="I58" i="1"/>
  <c r="AK57" i="1"/>
  <c r="AJ57" i="1"/>
  <c r="AH57" i="1"/>
  <c r="J57" i="1"/>
  <c r="AI57" i="1" s="1"/>
  <c r="I57" i="1"/>
  <c r="AK56" i="1"/>
  <c r="AL56" i="1" s="1"/>
  <c r="AJ56" i="1"/>
  <c r="AH56" i="1"/>
  <c r="J56" i="1" s="1"/>
  <c r="AI56" i="1" s="1"/>
  <c r="I56" i="1"/>
  <c r="AK55" i="1"/>
  <c r="AL55" i="1" s="1"/>
  <c r="AJ55" i="1"/>
  <c r="AH55" i="1"/>
  <c r="J55" i="1"/>
  <c r="AI55" i="1" s="1"/>
  <c r="I55" i="1"/>
  <c r="AK54" i="1"/>
  <c r="AL54" i="1" s="1"/>
  <c r="AJ54" i="1"/>
  <c r="AH54" i="1"/>
  <c r="J54" i="1"/>
  <c r="AI54" i="1" s="1"/>
  <c r="I54" i="1"/>
  <c r="AK53" i="1"/>
  <c r="AJ53" i="1"/>
  <c r="AH53" i="1"/>
  <c r="J53" i="1" s="1"/>
  <c r="AI53" i="1" s="1"/>
  <c r="I53" i="1"/>
  <c r="AK52" i="1"/>
  <c r="AL52" i="1" s="1"/>
  <c r="AJ52" i="1"/>
  <c r="AH52" i="1"/>
  <c r="J52" i="1" s="1"/>
  <c r="AI52" i="1" s="1"/>
  <c r="I52" i="1"/>
  <c r="AK51" i="1"/>
  <c r="AJ51" i="1"/>
  <c r="AH51" i="1"/>
  <c r="J51" i="1" s="1"/>
  <c r="AI51" i="1" s="1"/>
  <c r="I51" i="1"/>
  <c r="AK50" i="1"/>
  <c r="AL50" i="1" s="1"/>
  <c r="AJ50" i="1"/>
  <c r="AH50" i="1"/>
  <c r="J50" i="1" s="1"/>
  <c r="AI50" i="1" s="1"/>
  <c r="I50" i="1"/>
  <c r="AK49" i="1"/>
  <c r="AL49" i="1" s="1"/>
  <c r="AJ49" i="1"/>
  <c r="AH49" i="1"/>
  <c r="J49" i="1" s="1"/>
  <c r="AI49" i="1" s="1"/>
  <c r="I49" i="1"/>
  <c r="AK48" i="1"/>
  <c r="AL48" i="1" s="1"/>
  <c r="AJ48" i="1"/>
  <c r="AH48" i="1"/>
  <c r="J48" i="1" s="1"/>
  <c r="AI48" i="1" s="1"/>
  <c r="I48" i="1"/>
  <c r="AK47" i="1"/>
  <c r="AJ47" i="1"/>
  <c r="AH47" i="1"/>
  <c r="J47" i="1" s="1"/>
  <c r="AI47" i="1" s="1"/>
  <c r="I47" i="1"/>
  <c r="AK46" i="1"/>
  <c r="AJ46" i="1"/>
  <c r="AH46" i="1"/>
  <c r="J46" i="1" s="1"/>
  <c r="AI46" i="1" s="1"/>
  <c r="I46" i="1"/>
  <c r="AK45" i="1"/>
  <c r="AJ45" i="1"/>
  <c r="AH45" i="1"/>
  <c r="J45" i="1" s="1"/>
  <c r="AI45" i="1" s="1"/>
  <c r="I45" i="1"/>
  <c r="AK44" i="1"/>
  <c r="AJ44" i="1"/>
  <c r="AH44" i="1"/>
  <c r="J44" i="1"/>
  <c r="AI44" i="1" s="1"/>
  <c r="I44" i="1"/>
  <c r="AK43" i="1"/>
  <c r="AJ43" i="1"/>
  <c r="AH43" i="1"/>
  <c r="J43" i="1" s="1"/>
  <c r="AI43" i="1" s="1"/>
  <c r="I43" i="1"/>
  <c r="AK42" i="1"/>
  <c r="AJ42" i="1"/>
  <c r="AH42" i="1"/>
  <c r="J42" i="1" s="1"/>
  <c r="AI42" i="1" s="1"/>
  <c r="I42" i="1"/>
  <c r="AK41" i="1"/>
  <c r="AJ41" i="1"/>
  <c r="AH41" i="1"/>
  <c r="J41" i="1" s="1"/>
  <c r="AI41" i="1" s="1"/>
  <c r="I41" i="1"/>
  <c r="AK40" i="1"/>
  <c r="AJ40" i="1"/>
  <c r="AH40" i="1"/>
  <c r="J40" i="1" s="1"/>
  <c r="AI40" i="1" s="1"/>
  <c r="I40" i="1"/>
  <c r="AK39" i="1"/>
  <c r="AJ39" i="1"/>
  <c r="AH39" i="1"/>
  <c r="J39" i="1" s="1"/>
  <c r="AI39" i="1" s="1"/>
  <c r="I39" i="1"/>
  <c r="AK38" i="1"/>
  <c r="AJ38" i="1"/>
  <c r="AH38" i="1"/>
  <c r="J38" i="1" s="1"/>
  <c r="AI38" i="1" s="1"/>
  <c r="I38" i="1"/>
  <c r="AK37" i="1"/>
  <c r="AJ37" i="1"/>
  <c r="AH37" i="1"/>
  <c r="J37" i="1" s="1"/>
  <c r="AI37" i="1" s="1"/>
  <c r="I37" i="1"/>
  <c r="AK36" i="1"/>
  <c r="AJ36" i="1"/>
  <c r="AH36" i="1"/>
  <c r="J36" i="1" s="1"/>
  <c r="AI36" i="1" s="1"/>
  <c r="I36" i="1"/>
  <c r="AK35" i="1"/>
  <c r="AJ35" i="1"/>
  <c r="AH35" i="1"/>
  <c r="J35" i="1" s="1"/>
  <c r="AI35" i="1" s="1"/>
  <c r="I35" i="1"/>
  <c r="AK34" i="1"/>
  <c r="AJ34" i="1"/>
  <c r="AH34" i="1"/>
  <c r="J34" i="1" s="1"/>
  <c r="AI34" i="1" s="1"/>
  <c r="I34" i="1"/>
  <c r="AK33" i="1"/>
  <c r="AJ33" i="1"/>
  <c r="AH33" i="1"/>
  <c r="J33" i="1" s="1"/>
  <c r="AI33" i="1" s="1"/>
  <c r="I33" i="1"/>
  <c r="AK32" i="1"/>
  <c r="AJ32" i="1"/>
  <c r="AH32" i="1"/>
  <c r="J32" i="1" s="1"/>
  <c r="AI32" i="1" s="1"/>
  <c r="I32" i="1"/>
  <c r="AK31" i="1"/>
  <c r="AJ31" i="1"/>
  <c r="AH31" i="1"/>
  <c r="J31" i="1"/>
  <c r="AI31" i="1" s="1"/>
  <c r="I31" i="1"/>
  <c r="AK30" i="1"/>
  <c r="AJ30" i="1"/>
  <c r="AH30" i="1"/>
  <c r="J30" i="1" s="1"/>
  <c r="AI30" i="1" s="1"/>
  <c r="I30" i="1"/>
  <c r="AK29" i="1"/>
  <c r="AJ29" i="1"/>
  <c r="AH29" i="1"/>
  <c r="J29" i="1" s="1"/>
  <c r="AI29" i="1" s="1"/>
  <c r="I29" i="1"/>
  <c r="AK28" i="1"/>
  <c r="AJ28" i="1"/>
  <c r="AH28" i="1"/>
  <c r="J28" i="1" s="1"/>
  <c r="AI28" i="1" s="1"/>
  <c r="I28" i="1"/>
  <c r="AK27" i="1"/>
  <c r="AJ27" i="1"/>
  <c r="AH27" i="1"/>
  <c r="J27" i="1" s="1"/>
  <c r="AI27" i="1" s="1"/>
  <c r="I27" i="1"/>
  <c r="AK26" i="1"/>
  <c r="AJ26" i="1"/>
  <c r="AH26" i="1"/>
  <c r="J26" i="1" s="1"/>
  <c r="AI26" i="1" s="1"/>
  <c r="I26" i="1"/>
  <c r="AK25" i="1"/>
  <c r="AJ25" i="1"/>
  <c r="AH25" i="1"/>
  <c r="J25" i="1" s="1"/>
  <c r="AI25" i="1" s="1"/>
  <c r="I25" i="1"/>
  <c r="AK24" i="1"/>
  <c r="AL24" i="1" s="1"/>
  <c r="AJ24" i="1"/>
  <c r="AH24" i="1"/>
  <c r="J24" i="1" s="1"/>
  <c r="AI24" i="1" s="1"/>
  <c r="I24" i="1"/>
  <c r="AK23" i="1"/>
  <c r="AJ23" i="1"/>
  <c r="AH23" i="1"/>
  <c r="J23" i="1" s="1"/>
  <c r="AI23" i="1" s="1"/>
  <c r="I23" i="1"/>
  <c r="AK22" i="1"/>
  <c r="AJ22" i="1"/>
  <c r="AH22" i="1"/>
  <c r="J22" i="1" s="1"/>
  <c r="AI22" i="1" s="1"/>
  <c r="I22" i="1"/>
  <c r="AK21" i="1"/>
  <c r="AJ21" i="1"/>
  <c r="AH21" i="1"/>
  <c r="J21" i="1" s="1"/>
  <c r="AI21" i="1" s="1"/>
  <c r="I21" i="1"/>
  <c r="AK20" i="1"/>
  <c r="AL20" i="1" s="1"/>
  <c r="AJ20" i="1"/>
  <c r="AH20" i="1"/>
  <c r="J20" i="1" s="1"/>
  <c r="AI20" i="1" s="1"/>
  <c r="I20" i="1"/>
  <c r="AK19" i="1"/>
  <c r="AJ19" i="1"/>
  <c r="AH19" i="1"/>
  <c r="J19" i="1" s="1"/>
  <c r="AI19" i="1" s="1"/>
  <c r="I19" i="1"/>
  <c r="AK18" i="1"/>
  <c r="AJ18" i="1"/>
  <c r="AH18" i="1"/>
  <c r="J18" i="1" s="1"/>
  <c r="AI18" i="1" s="1"/>
  <c r="I18" i="1"/>
  <c r="AK17" i="1"/>
  <c r="AJ17" i="1"/>
  <c r="AH17" i="1"/>
  <c r="J17" i="1" s="1"/>
  <c r="AI17" i="1" s="1"/>
  <c r="I17" i="1"/>
  <c r="AK16" i="1"/>
  <c r="AJ16" i="1"/>
  <c r="AH16" i="1"/>
  <c r="J16" i="1" s="1"/>
  <c r="AI16" i="1" s="1"/>
  <c r="I16" i="1"/>
  <c r="AK15" i="1"/>
  <c r="AJ15" i="1"/>
  <c r="AH15" i="1"/>
  <c r="J15" i="1"/>
  <c r="AI15" i="1" s="1"/>
  <c r="I15" i="1"/>
  <c r="AK14" i="1"/>
  <c r="AJ14" i="1"/>
  <c r="AH14" i="1"/>
  <c r="J14" i="1" s="1"/>
  <c r="AI14" i="1" s="1"/>
  <c r="I14" i="1"/>
  <c r="AK13" i="1"/>
  <c r="AJ13" i="1"/>
  <c r="AH13" i="1"/>
  <c r="J13" i="1" s="1"/>
  <c r="AI13" i="1" s="1"/>
  <c r="I13" i="1"/>
  <c r="AK12" i="1"/>
  <c r="AJ12" i="1"/>
  <c r="AH12" i="1"/>
  <c r="J12" i="1" s="1"/>
  <c r="AI12" i="1" s="1"/>
  <c r="I12" i="1"/>
  <c r="AK11" i="1"/>
  <c r="AJ11" i="1"/>
  <c r="AH11" i="1"/>
  <c r="J11" i="1" s="1"/>
  <c r="AI11" i="1" s="1"/>
  <c r="I11" i="1"/>
  <c r="AK10" i="1"/>
  <c r="AJ10" i="1"/>
  <c r="AH10" i="1"/>
  <c r="J10" i="1" s="1"/>
  <c r="AI10" i="1" s="1"/>
  <c r="I10" i="1"/>
  <c r="AK9" i="1"/>
  <c r="AJ9" i="1"/>
  <c r="AH9" i="1"/>
  <c r="J9" i="1"/>
  <c r="AI9" i="1" s="1"/>
  <c r="I9" i="1"/>
  <c r="AK8" i="1"/>
  <c r="AJ8" i="1"/>
  <c r="AH8" i="1"/>
  <c r="J8" i="1" s="1"/>
  <c r="AI8" i="1" s="1"/>
  <c r="I8" i="1"/>
  <c r="AK7" i="1"/>
  <c r="AJ7" i="1"/>
  <c r="AH7" i="1"/>
  <c r="J7" i="1" s="1"/>
  <c r="AI7" i="1" s="1"/>
  <c r="I7" i="1"/>
  <c r="AK6" i="1"/>
  <c r="AJ6" i="1"/>
  <c r="AH6" i="1"/>
  <c r="I6" i="1"/>
  <c r="I99" i="1" s="1"/>
  <c r="AM3" i="1"/>
  <c r="A6" i="1" s="1"/>
  <c r="AJ99" i="1" l="1"/>
  <c r="AK99" i="1"/>
  <c r="AH99" i="1"/>
  <c r="J6" i="1"/>
  <c r="B6" i="1"/>
  <c r="A9" i="1"/>
  <c r="AL93" i="1"/>
  <c r="AL91" i="1"/>
  <c r="AL90" i="1"/>
  <c r="AL67" i="1"/>
  <c r="AL62" i="1"/>
  <c r="AL60" i="1"/>
  <c r="AL57" i="1"/>
  <c r="AL53" i="1"/>
  <c r="AL51" i="1"/>
  <c r="AL47" i="1"/>
  <c r="AL46" i="1"/>
  <c r="AL40" i="1"/>
  <c r="AL39" i="1"/>
  <c r="AL37" i="1"/>
  <c r="AL34" i="1"/>
  <c r="AL32" i="1"/>
  <c r="AL31" i="1"/>
  <c r="AL30" i="1"/>
  <c r="AL29" i="1"/>
  <c r="AL27" i="1"/>
  <c r="AL25" i="1"/>
  <c r="AL23" i="1"/>
  <c r="AL22" i="1"/>
  <c r="AL21" i="1"/>
  <c r="AL16" i="1"/>
  <c r="AL15" i="1"/>
  <c r="AL14" i="1"/>
  <c r="AL13" i="1"/>
  <c r="AL12" i="1"/>
  <c r="AL10" i="1"/>
  <c r="AL8" i="1"/>
  <c r="AL7" i="1"/>
  <c r="AL92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6" i="1"/>
  <c r="AL64" i="1"/>
  <c r="AL45" i="1"/>
  <c r="AL44" i="1"/>
  <c r="AL43" i="1"/>
  <c r="AL42" i="1"/>
  <c r="AL41" i="1"/>
  <c r="AL38" i="1"/>
  <c r="AL36" i="1"/>
  <c r="AL35" i="1"/>
  <c r="AL33" i="1"/>
  <c r="AL28" i="1"/>
  <c r="AL26" i="1"/>
  <c r="AL19" i="1"/>
  <c r="AL18" i="1"/>
  <c r="AL17" i="1"/>
  <c r="AL11" i="1"/>
  <c r="AL9" i="1"/>
  <c r="AI6" i="1" l="1"/>
  <c r="AL6" i="1" s="1"/>
  <c r="J99" i="1"/>
  <c r="AI99" i="1" s="1"/>
  <c r="AL99" i="1" s="1"/>
  <c r="A12" i="1"/>
  <c r="B9" i="1"/>
  <c r="B12" i="1" l="1"/>
  <c r="A15" i="1"/>
  <c r="B15" i="1" l="1"/>
  <c r="A18" i="1"/>
  <c r="A21" i="1" l="1"/>
  <c r="B18" i="1"/>
  <c r="B21" i="1" l="1"/>
  <c r="A24" i="1"/>
  <c r="B24" i="1" l="1"/>
  <c r="A27" i="1"/>
  <c r="A30" i="1" l="1"/>
  <c r="B27" i="1"/>
  <c r="A33" i="1" l="1"/>
  <c r="B30" i="1"/>
  <c r="A36" i="1" l="1"/>
  <c r="B33" i="1"/>
  <c r="A39" i="1" l="1"/>
  <c r="B36" i="1"/>
  <c r="A42" i="1" l="1"/>
  <c r="B39" i="1"/>
  <c r="B42" i="1" l="1"/>
  <c r="A45" i="1"/>
  <c r="B45" i="1" l="1"/>
  <c r="A48" i="1"/>
  <c r="A51" i="1" l="1"/>
  <c r="B48" i="1"/>
  <c r="A54" i="1" l="1"/>
  <c r="B51" i="1"/>
  <c r="B54" i="1" l="1"/>
  <c r="A57" i="1"/>
  <c r="B57" i="1" l="1"/>
  <c r="A60" i="1"/>
  <c r="B60" i="1" l="1"/>
  <c r="A63" i="1"/>
  <c r="A66" i="1" l="1"/>
  <c r="B63" i="1"/>
  <c r="A69" i="1" l="1"/>
  <c r="B66" i="1"/>
  <c r="B69" i="1" l="1"/>
  <c r="A72" i="1"/>
  <c r="B72" i="1" l="1"/>
  <c r="A75" i="1"/>
  <c r="B75" i="1" l="1"/>
  <c r="A78" i="1"/>
  <c r="B78" i="1" l="1"/>
  <c r="A81" i="1"/>
  <c r="B81" i="1" l="1"/>
  <c r="A84" i="1"/>
  <c r="B84" i="1" l="1"/>
  <c r="A87" i="1"/>
  <c r="A90" i="1" l="1"/>
  <c r="B87" i="1"/>
  <c r="B90" i="1" l="1"/>
  <c r="A93" i="1"/>
  <c r="B93" i="1" l="1"/>
  <c r="A96" i="1"/>
  <c r="B96" i="1" s="1"/>
</calcChain>
</file>

<file path=xl/sharedStrings.xml><?xml version="1.0" encoding="utf-8"?>
<sst xmlns="http://schemas.openxmlformats.org/spreadsheetml/2006/main" count="298" uniqueCount="50">
  <si>
    <t>MEP FAN LTD.</t>
  </si>
  <si>
    <t>Production Performance Analysis Report</t>
  </si>
  <si>
    <t>Fan lathe Section ( May 2026)</t>
  </si>
  <si>
    <t>Date</t>
  </si>
  <si>
    <t>Day</t>
  </si>
  <si>
    <t>Shift</t>
  </si>
  <si>
    <t>Machine Name</t>
  </si>
  <si>
    <t>Machine Capacity (Pcs)</t>
  </si>
  <si>
    <t>Actual Prd. (Pcs)</t>
  </si>
  <si>
    <t>Rejection (Pcs)</t>
  </si>
  <si>
    <t>Planned Prd. Time (Min)</t>
  </si>
  <si>
    <t>Expected DownTime (Min)</t>
  </si>
  <si>
    <t>Total Prd. Run Time (Min)</t>
  </si>
  <si>
    <t>Heater/Coil  Problem</t>
  </si>
  <si>
    <t>Power Shutdown</t>
  </si>
  <si>
    <t>Machine Breakdown</t>
  </si>
  <si>
    <t>Die/ Mold Problem</t>
  </si>
  <si>
    <t>Model/ Die Change</t>
  </si>
  <si>
    <t>Air Presser Problem</t>
  </si>
  <si>
    <t>Water line Problem</t>
  </si>
  <si>
    <t>Lift Problem</t>
  </si>
  <si>
    <t>D Coil Insert</t>
  </si>
  <si>
    <t>RM Shortage</t>
  </si>
  <si>
    <t>Crean Problem</t>
  </si>
  <si>
    <t>Worker Absent</t>
  </si>
  <si>
    <t xml:space="preserve">Printer M/C Problem </t>
  </si>
  <si>
    <t>UPS shutdown</t>
  </si>
  <si>
    <t>Load Problem</t>
  </si>
  <si>
    <t>Namaz</t>
  </si>
  <si>
    <t>Conveyor Belt Problem</t>
  </si>
  <si>
    <t>Fitting Problem</t>
  </si>
  <si>
    <t>Gas Presser Problem</t>
  </si>
  <si>
    <t>Mold polish &amp; Clean</t>
  </si>
  <si>
    <t>Alu. Ash Extraction</t>
  </si>
  <si>
    <t>Robot Problems</t>
  </si>
  <si>
    <t>Alu. Recipe Problem</t>
  </si>
  <si>
    <t>Total Down Time (Mins)</t>
  </si>
  <si>
    <t>Availability (%)</t>
  </si>
  <si>
    <t>Performance (%)</t>
  </si>
  <si>
    <t>Quality (%)</t>
  </si>
  <si>
    <t>OEE (%)</t>
  </si>
  <si>
    <t>Remarks</t>
  </si>
  <si>
    <t>Morning</t>
  </si>
  <si>
    <t>Rotor (CNC)</t>
  </si>
  <si>
    <t>No need Rotor Production</t>
  </si>
  <si>
    <t>Bottom Cover (CNC)</t>
  </si>
  <si>
    <t>No abailable  man Power</t>
  </si>
  <si>
    <t>Top Cover (CNC)</t>
  </si>
  <si>
    <t>Holi Day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</si>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</sst>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mm"/>
    <numFmt numFmtId="165" formatCode="0;;"/>
    <numFmt numFmtId="166" formatCode="[$-409]d\-mmm\-yy;@"/>
    <numFmt numFmtId="167" formatCode="ddd"/>
    <numFmt numFmtId="168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0"/>
      <name val="Times New Roman"/>
      <family val="1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theme="0"/>
      <name val="Times New Roman"/>
      <family val="1"/>
    </font>
    <font>
      <b/>
      <sz val="12"/>
      <color theme="1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</fonts>
  <fills count="14">
    <fill>
      <patternFill patternType="none"/>
    </fill>
    <fill>
      <patternFill patternType="gray125"/>
    </fill>
    <fill>
      <gradientFill degree="90">
        <stop position="0">
          <color theme="3" tint="0.25098422193060094"/>
        </stop>
        <stop position="1">
          <color theme="3" tint="0.49803155613879818"/>
        </stop>
      </gradientFill>
    </fill>
    <fill>
      <patternFill patternType="solid">
        <fgColor theme="3" tint="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</cellStyleXfs>
  <cellXfs count="8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64" fontId="4" fillId="5" borderId="5" xfId="0" applyNumberFormat="1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left" vertical="center"/>
    </xf>
    <xf numFmtId="0" fontId="6" fillId="7" borderId="7" xfId="0" applyFont="1" applyFill="1" applyBorder="1" applyAlignment="1">
      <alignment horizontal="center" vertical="center" textRotation="90" wrapText="1"/>
    </xf>
    <xf numFmtId="0" fontId="6" fillId="7" borderId="8" xfId="0" applyFont="1" applyFill="1" applyBorder="1" applyAlignment="1">
      <alignment horizontal="center" vertical="center" textRotation="90" wrapText="1"/>
    </xf>
    <xf numFmtId="0" fontId="6" fillId="7" borderId="9" xfId="0" applyFont="1" applyFill="1" applyBorder="1" applyAlignment="1">
      <alignment horizontal="center" vertical="center" textRotation="90" wrapText="1"/>
    </xf>
    <xf numFmtId="0" fontId="7" fillId="8" borderId="7" xfId="0" applyFont="1" applyFill="1" applyBorder="1" applyAlignment="1">
      <alignment horizontal="center" vertical="center" textRotation="90" wrapText="1"/>
    </xf>
    <xf numFmtId="0" fontId="7" fillId="8" borderId="8" xfId="0" applyFont="1" applyFill="1" applyBorder="1" applyAlignment="1">
      <alignment horizontal="center" vertical="center" textRotation="90" wrapText="1"/>
    </xf>
    <xf numFmtId="0" fontId="6" fillId="7" borderId="10" xfId="1" applyNumberFormat="1" applyFont="1" applyFill="1" applyBorder="1" applyAlignment="1" applyProtection="1">
      <alignment horizontal="center" vertical="center" textRotation="90" wrapText="1"/>
    </xf>
    <xf numFmtId="9" fontId="6" fillId="7" borderId="8" xfId="2" applyFont="1" applyFill="1" applyBorder="1" applyAlignment="1" applyProtection="1">
      <alignment horizontal="center" vertical="center" textRotation="90" wrapText="1"/>
    </xf>
    <xf numFmtId="165" fontId="8" fillId="7" borderId="11" xfId="0" applyNumberFormat="1" applyFont="1" applyFill="1" applyBorder="1" applyAlignment="1">
      <alignment horizontal="center" vertical="center" textRotation="180" wrapText="1"/>
    </xf>
    <xf numFmtId="0" fontId="5" fillId="0" borderId="0" xfId="0" applyFont="1" applyAlignment="1">
      <alignment horizontal="center" vertical="center" textRotation="90" wrapText="1"/>
    </xf>
    <xf numFmtId="166" fontId="5" fillId="9" borderId="7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16" fontId="9" fillId="0" borderId="12" xfId="0" applyNumberFormat="1" applyFont="1" applyBorder="1" applyAlignment="1">
      <alignment horizontal="center" vertical="center"/>
    </xf>
    <xf numFmtId="0" fontId="3" fillId="0" borderId="12" xfId="3" applyFont="1" applyBorder="1" applyAlignment="1">
      <alignment horizontal="center" vertical="center"/>
    </xf>
    <xf numFmtId="1" fontId="10" fillId="0" borderId="12" xfId="0" applyNumberFormat="1" applyFont="1" applyBorder="1" applyAlignment="1" applyProtection="1">
      <alignment horizontal="center" vertical="center"/>
      <protection locked="0"/>
    </xf>
    <xf numFmtId="1" fontId="3" fillId="10" borderId="12" xfId="0" applyNumberFormat="1" applyFont="1" applyFill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>
      <alignment horizontal="center"/>
    </xf>
    <xf numFmtId="168" fontId="3" fillId="0" borderId="12" xfId="0" applyNumberFormat="1" applyFont="1" applyBorder="1" applyAlignment="1">
      <alignment horizontal="center" vertical="center"/>
    </xf>
    <xf numFmtId="0" fontId="5" fillId="11" borderId="12" xfId="0" applyFont="1" applyFill="1" applyBorder="1" applyAlignment="1" applyProtection="1">
      <alignment horizontal="center" vertical="center"/>
      <protection locked="0"/>
    </xf>
    <xf numFmtId="0" fontId="5" fillId="7" borderId="12" xfId="1" applyNumberFormat="1" applyFont="1" applyFill="1" applyBorder="1" applyAlignment="1" applyProtection="1">
      <alignment horizontal="center" vertical="center"/>
    </xf>
    <xf numFmtId="9" fontId="5" fillId="12" borderId="12" xfId="2" applyFont="1" applyFill="1" applyBorder="1" applyAlignment="1" applyProtection="1">
      <alignment horizontal="center" vertical="center"/>
    </xf>
    <xf numFmtId="0" fontId="5" fillId="0" borderId="13" xfId="0" applyFont="1" applyBorder="1" applyAlignment="1" applyProtection="1">
      <alignment horizontal="center" vertical="top" wrapText="1"/>
      <protection locked="0"/>
    </xf>
    <xf numFmtId="0" fontId="3" fillId="10" borderId="0" xfId="0" applyFont="1" applyFill="1" applyAlignment="1">
      <alignment horizontal="center" vertical="center"/>
    </xf>
    <xf numFmtId="166" fontId="5" fillId="9" borderId="14" xfId="0" applyNumberFormat="1" applyFont="1" applyFill="1" applyBorder="1" applyAlignment="1">
      <alignment horizontal="center" vertical="center"/>
    </xf>
    <xf numFmtId="167" fontId="5" fillId="9" borderId="15" xfId="0" applyNumberFormat="1" applyFont="1" applyFill="1" applyBorder="1" applyAlignment="1">
      <alignment horizontal="center" vertical="center"/>
    </xf>
    <xf numFmtId="16" fontId="9" fillId="0" borderId="16" xfId="0" applyNumberFormat="1" applyFont="1" applyBorder="1" applyAlignment="1">
      <alignment horizontal="center" vertical="center"/>
    </xf>
    <xf numFmtId="0" fontId="3" fillId="0" borderId="16" xfId="3" applyFont="1" applyBorder="1" applyAlignment="1">
      <alignment horizontal="center" vertical="center"/>
    </xf>
    <xf numFmtId="1" fontId="10" fillId="0" borderId="17" xfId="0" applyNumberFormat="1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>
      <alignment horizontal="center"/>
    </xf>
    <xf numFmtId="168" fontId="3" fillId="0" borderId="16" xfId="0" applyNumberFormat="1" applyFont="1" applyBorder="1" applyAlignment="1">
      <alignment horizontal="center" vertical="center"/>
    </xf>
    <xf numFmtId="0" fontId="5" fillId="11" borderId="16" xfId="0" applyFont="1" applyFill="1" applyBorder="1" applyAlignment="1" applyProtection="1">
      <alignment horizontal="center" vertical="center"/>
      <protection locked="0"/>
    </xf>
    <xf numFmtId="0" fontId="5" fillId="7" borderId="16" xfId="1" applyNumberFormat="1" applyFont="1" applyFill="1" applyBorder="1" applyAlignment="1" applyProtection="1">
      <alignment horizontal="center" vertical="center"/>
    </xf>
    <xf numFmtId="9" fontId="5" fillId="12" borderId="16" xfId="2" applyFont="1" applyFill="1" applyBorder="1" applyAlignment="1" applyProtection="1">
      <alignment horizontal="center" vertical="center"/>
    </xf>
    <xf numFmtId="166" fontId="5" fillId="9" borderId="18" xfId="0" applyNumberFormat="1" applyFont="1" applyFill="1" applyBorder="1" applyAlignment="1">
      <alignment horizontal="center" vertical="center"/>
    </xf>
    <xf numFmtId="167" fontId="5" fillId="9" borderId="19" xfId="0" applyNumberFormat="1" applyFont="1" applyFill="1" applyBorder="1" applyAlignment="1">
      <alignment horizontal="center" vertical="center"/>
    </xf>
    <xf numFmtId="16" fontId="9" fillId="0" borderId="20" xfId="0" applyNumberFormat="1" applyFont="1" applyBorder="1" applyAlignment="1">
      <alignment horizontal="center" vertical="center"/>
    </xf>
    <xf numFmtId="0" fontId="3" fillId="0" borderId="20" xfId="3" applyFont="1" applyBorder="1" applyAlignment="1">
      <alignment horizontal="center" vertical="center"/>
    </xf>
    <xf numFmtId="1" fontId="10" fillId="0" borderId="19" xfId="0" applyNumberFormat="1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>
      <alignment horizontal="center"/>
    </xf>
    <xf numFmtId="168" fontId="3" fillId="0" borderId="20" xfId="0" applyNumberFormat="1" applyFont="1" applyBorder="1" applyAlignment="1">
      <alignment horizontal="center" vertical="center"/>
    </xf>
    <xf numFmtId="0" fontId="5" fillId="11" borderId="20" xfId="0" applyFont="1" applyFill="1" applyBorder="1" applyAlignment="1" applyProtection="1">
      <alignment horizontal="center" vertical="center"/>
      <protection locked="0"/>
    </xf>
    <xf numFmtId="0" fontId="5" fillId="7" borderId="20" xfId="1" applyNumberFormat="1" applyFont="1" applyFill="1" applyBorder="1" applyAlignment="1" applyProtection="1">
      <alignment horizontal="center" vertical="center"/>
    </xf>
    <xf numFmtId="9" fontId="5" fillId="12" borderId="20" xfId="2" applyFont="1" applyFill="1" applyBorder="1" applyAlignment="1" applyProtection="1">
      <alignment horizontal="center" vertical="center"/>
    </xf>
    <xf numFmtId="16" fontId="9" fillId="0" borderId="6" xfId="0" applyNumberFormat="1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1" fontId="10" fillId="0" borderId="15" xfId="0" applyNumberFormat="1" applyFont="1" applyBorder="1" applyAlignment="1" applyProtection="1">
      <alignment horizontal="center" vertical="center"/>
      <protection locked="0"/>
    </xf>
    <xf numFmtId="1" fontId="3" fillId="10" borderId="8" xfId="0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Alignment="1">
      <alignment horizontal="center"/>
    </xf>
    <xf numFmtId="168" fontId="3" fillId="0" borderId="6" xfId="0" applyNumberFormat="1" applyFont="1" applyBorder="1" applyAlignment="1">
      <alignment horizontal="center" vertical="center"/>
    </xf>
    <xf numFmtId="0" fontId="5" fillId="11" borderId="6" xfId="0" applyFont="1" applyFill="1" applyBorder="1" applyAlignment="1" applyProtection="1">
      <alignment horizontal="center" vertical="center"/>
      <protection locked="0"/>
    </xf>
    <xf numFmtId="0" fontId="5" fillId="7" borderId="6" xfId="1" applyNumberFormat="1" applyFont="1" applyFill="1" applyBorder="1" applyAlignment="1" applyProtection="1">
      <alignment horizontal="center" vertical="center"/>
    </xf>
    <xf numFmtId="9" fontId="5" fillId="12" borderId="6" xfId="2" applyFont="1" applyFill="1" applyBorder="1" applyAlignment="1" applyProtection="1">
      <alignment horizontal="center" vertical="center"/>
    </xf>
    <xf numFmtId="1" fontId="3" fillId="10" borderId="21" xfId="0" applyNumberFormat="1" applyFont="1" applyFill="1" applyBorder="1" applyAlignment="1" applyProtection="1">
      <alignment horizontal="center" vertical="center"/>
      <protection locked="0"/>
    </xf>
    <xf numFmtId="16" fontId="9" fillId="0" borderId="17" xfId="0" applyNumberFormat="1" applyFont="1" applyBorder="1" applyAlignment="1">
      <alignment horizontal="center" vertical="center"/>
    </xf>
    <xf numFmtId="0" fontId="3" fillId="0" borderId="17" xfId="3" applyFont="1" applyBorder="1" applyAlignment="1">
      <alignment horizontal="center" vertical="center"/>
    </xf>
    <xf numFmtId="1" fontId="3" fillId="10" borderId="17" xfId="0" applyNumberFormat="1" applyFont="1" applyFill="1" applyBorder="1" applyAlignment="1" applyProtection="1">
      <alignment horizontal="center" vertical="center"/>
      <protection locked="0"/>
    </xf>
    <xf numFmtId="0" fontId="3" fillId="0" borderId="17" xfId="0" applyFont="1" applyBorder="1" applyAlignment="1">
      <alignment horizontal="center"/>
    </xf>
    <xf numFmtId="168" fontId="3" fillId="0" borderId="17" xfId="0" applyNumberFormat="1" applyFont="1" applyBorder="1" applyAlignment="1">
      <alignment horizontal="center" vertical="center"/>
    </xf>
    <xf numFmtId="0" fontId="5" fillId="11" borderId="17" xfId="0" applyFont="1" applyFill="1" applyBorder="1" applyAlignment="1" applyProtection="1">
      <alignment horizontal="center" vertical="center"/>
      <protection locked="0"/>
    </xf>
    <xf numFmtId="0" fontId="5" fillId="7" borderId="17" xfId="1" applyNumberFormat="1" applyFont="1" applyFill="1" applyBorder="1" applyAlignment="1" applyProtection="1">
      <alignment horizontal="center" vertical="center"/>
    </xf>
    <xf numFmtId="9" fontId="5" fillId="12" borderId="17" xfId="2" applyFont="1" applyFill="1" applyBorder="1" applyAlignment="1" applyProtection="1">
      <alignment horizontal="center" vertical="center"/>
    </xf>
    <xf numFmtId="168" fontId="11" fillId="13" borderId="22" xfId="1" applyNumberFormat="1" applyFont="1" applyFill="1" applyBorder="1" applyAlignment="1" applyProtection="1">
      <alignment horizontal="right" vertical="center"/>
    </xf>
    <xf numFmtId="168" fontId="11" fillId="13" borderId="5" xfId="1" applyNumberFormat="1" applyFont="1" applyFill="1" applyBorder="1" applyAlignment="1" applyProtection="1">
      <alignment horizontal="right" vertical="center"/>
    </xf>
    <xf numFmtId="168" fontId="11" fillId="13" borderId="23" xfId="1" applyNumberFormat="1" applyFont="1" applyFill="1" applyBorder="1" applyAlignment="1" applyProtection="1">
      <alignment horizontal="right" vertical="center"/>
    </xf>
    <xf numFmtId="1" fontId="4" fillId="13" borderId="17" xfId="1" applyNumberFormat="1" applyFont="1" applyFill="1" applyBorder="1" applyAlignment="1" applyProtection="1">
      <alignment horizontal="center" vertical="center"/>
    </xf>
    <xf numFmtId="9" fontId="4" fillId="13" borderId="16" xfId="2" applyFont="1" applyFill="1" applyBorder="1" applyAlignment="1" applyProtection="1">
      <alignment horizontal="center" vertical="center"/>
    </xf>
    <xf numFmtId="165" fontId="12" fillId="13" borderId="16" xfId="2" applyNumberFormat="1" applyFont="1" applyFill="1" applyBorder="1" applyAlignment="1" applyProtection="1">
      <alignment horizontal="left" vertical="center" wrapText="1"/>
    </xf>
    <xf numFmtId="168" fontId="3" fillId="0" borderId="0" xfId="1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0" xfId="1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2" applyFont="1" applyAlignment="1">
      <alignment horizontal="center" vertical="center"/>
    </xf>
    <xf numFmtId="165" fontId="3" fillId="0" borderId="0" xfId="0" applyNumberFormat="1" applyFont="1" applyAlignment="1">
      <alignment horizontal="left" vertical="center" wrapText="1"/>
    </xf>
  </cellXfs>
  <cellStyles count="4">
    <cellStyle name="Comma" xfId="1" builtinId="3"/>
    <cellStyle name="Normal" xfId="0" builtinId="0"/>
    <cellStyle name="Normal 2" xfId="3" xr:uid="{5E44B3CA-E3D3-478A-8458-75C3A054D40C}"/>
    <cellStyle name="Percent" xfId="2" builtinId="5"/>
  </cellStyles>
  <dxfs count="11"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ont>
        <b/>
        <i val="0"/>
        <color theme="1"/>
      </font>
      <fill>
        <gradientFill degree="90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638f30d24b6f608/2026/OEE%20Report%202026/OEE%20REPORT%20ANOWAR.xlsx" TargetMode="External"/><Relationship Id="rId1" Type="http://schemas.openxmlformats.org/officeDocument/2006/relationships/externalLinkPath" Target="https://d.docs.live.net/9638f30d24b6f608/2026/OEE%20Report%202026/OEE%20REPORT%20ANOW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of OEE"/>
      <sheetName val="OEE"/>
      <sheetName val="Production Status"/>
      <sheetName val="Down Time"/>
      <sheetName val="TOP"/>
      <sheetName val="Fan Assemble"/>
      <sheetName val="Fan Armature"/>
      <sheetName val="Fan Power Press &amp; Stamping"/>
      <sheetName val="Fan Auto Die Casting"/>
      <sheetName val="Fan Rechargeable"/>
      <sheetName val="Exhaust Fan"/>
      <sheetName val="Auto Powder Coating"/>
      <sheetName val="Fan Lath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AM3">
            <v>46235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4C5E-2027-4ED4-AD9F-8D51B64AF4F7}">
  <sheetPr>
    <tabColor theme="6" tint="-0.499984740745262"/>
  </sheetPr>
  <dimension ref="A1:AM103"/>
  <sheetViews>
    <sheetView showGridLines="0" tabSelected="1" zoomScaleNormal="100" workbookViewId="0">
      <pane xSplit="3" ySplit="5" topLeftCell="D37" activePane="bottomRight" state="frozen"/>
      <selection pane="topRight" activeCell="D1" sqref="D1"/>
      <selection pane="bottomLeft" activeCell="A5" sqref="A5"/>
      <selection pane="bottomRight" activeCell="M49" sqref="M49"/>
    </sheetView>
  </sheetViews>
  <sheetFormatPr defaultColWidth="9.140625" defaultRowHeight="12.75" outlineLevelCol="1" x14ac:dyDescent="0.25"/>
  <cols>
    <col min="1" max="1" width="10.42578125" style="3" customWidth="1"/>
    <col min="2" max="2" width="4.85546875" style="3" bestFit="1" customWidth="1"/>
    <col min="3" max="3" width="8.42578125" style="79" bestFit="1" customWidth="1"/>
    <col min="4" max="4" width="17.85546875" style="3" bestFit="1" customWidth="1"/>
    <col min="5" max="5" width="7" style="3" bestFit="1" customWidth="1"/>
    <col min="6" max="6" width="6.5703125" style="3" bestFit="1" customWidth="1"/>
    <col min="7" max="7" width="4.140625" style="3" customWidth="1"/>
    <col min="8" max="10" width="5.42578125" style="3" bestFit="1" customWidth="1"/>
    <col min="11" max="12" width="3.140625" style="3" bestFit="1" customWidth="1" outlineLevel="1"/>
    <col min="13" max="13" width="5.7109375" style="3" customWidth="1" outlineLevel="1"/>
    <col min="14" max="14" width="5.5703125" style="3" bestFit="1" customWidth="1" outlineLevel="1"/>
    <col min="15" max="25" width="3.140625" style="3" bestFit="1" customWidth="1" outlineLevel="1"/>
    <col min="26" max="26" width="4.5703125" style="3" customWidth="1" outlineLevel="1"/>
    <col min="27" max="27" width="5.42578125" style="3" bestFit="1" customWidth="1" outlineLevel="1"/>
    <col min="28" max="33" width="3.140625" style="3" bestFit="1" customWidth="1" outlineLevel="1"/>
    <col min="34" max="34" width="5.42578125" style="80" bestFit="1" customWidth="1"/>
    <col min="35" max="37" width="6" style="3" bestFit="1" customWidth="1"/>
    <col min="38" max="38" width="6" style="82" bestFit="1" customWidth="1"/>
    <col min="39" max="39" width="36" style="83" bestFit="1" customWidth="1"/>
    <col min="40" max="16384" width="9.140625" style="3"/>
  </cols>
  <sheetData>
    <row r="1" spans="1:39" ht="25.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ht="13.5" customHeight="1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>
        <f>'[1]Auto Powder Coating'!AM3</f>
        <v>46235</v>
      </c>
    </row>
    <row r="4" spans="1:39" ht="13.5" hidden="1" thickBot="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>
        <v>10</v>
      </c>
      <c r="L4" s="9">
        <v>11</v>
      </c>
      <c r="M4" s="9">
        <v>12</v>
      </c>
      <c r="N4" s="9">
        <v>13</v>
      </c>
      <c r="O4" s="9">
        <v>14</v>
      </c>
      <c r="P4" s="9">
        <v>15</v>
      </c>
      <c r="Q4" s="9">
        <v>16</v>
      </c>
      <c r="R4" s="9">
        <v>17</v>
      </c>
      <c r="S4" s="9">
        <v>18</v>
      </c>
      <c r="T4" s="9">
        <v>19</v>
      </c>
      <c r="U4" s="9">
        <v>20</v>
      </c>
      <c r="V4" s="9">
        <v>21</v>
      </c>
      <c r="W4" s="9">
        <v>22</v>
      </c>
      <c r="X4" s="9">
        <v>23</v>
      </c>
      <c r="Y4" s="9">
        <v>24</v>
      </c>
      <c r="Z4" s="9">
        <v>25</v>
      </c>
      <c r="AA4" s="9">
        <v>26</v>
      </c>
      <c r="AB4" s="9">
        <v>27</v>
      </c>
      <c r="AC4" s="9">
        <v>28</v>
      </c>
      <c r="AD4" s="9">
        <v>29</v>
      </c>
      <c r="AE4" s="9">
        <v>30</v>
      </c>
      <c r="AF4" s="9">
        <v>31</v>
      </c>
      <c r="AG4" s="9">
        <v>32</v>
      </c>
      <c r="AH4" s="9"/>
      <c r="AI4" s="9"/>
      <c r="AJ4" s="9"/>
      <c r="AK4" s="9"/>
      <c r="AL4" s="9"/>
      <c r="AM4" s="10"/>
    </row>
    <row r="5" spans="1:39" s="19" customFormat="1" ht="110.25" customHeight="1" thickBot="1" x14ac:dyDescent="0.3">
      <c r="A5" s="11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3" t="s">
        <v>12</v>
      </c>
      <c r="K5" s="14" t="s">
        <v>13</v>
      </c>
      <c r="L5" s="15" t="s">
        <v>14</v>
      </c>
      <c r="M5" s="15" t="s">
        <v>15</v>
      </c>
      <c r="N5" s="15" t="s">
        <v>16</v>
      </c>
      <c r="O5" s="15" t="s">
        <v>17</v>
      </c>
      <c r="P5" s="15" t="s">
        <v>18</v>
      </c>
      <c r="Q5" s="15" t="s">
        <v>19</v>
      </c>
      <c r="R5" s="15" t="s">
        <v>20</v>
      </c>
      <c r="S5" s="15" t="s">
        <v>21</v>
      </c>
      <c r="T5" s="15" t="s">
        <v>22</v>
      </c>
      <c r="U5" s="15" t="s">
        <v>23</v>
      </c>
      <c r="V5" s="15" t="s">
        <v>24</v>
      </c>
      <c r="W5" s="15" t="s">
        <v>25</v>
      </c>
      <c r="X5" s="15" t="s">
        <v>26</v>
      </c>
      <c r="Y5" s="15" t="s">
        <v>27</v>
      </c>
      <c r="Z5" s="15" t="s">
        <v>28</v>
      </c>
      <c r="AA5" s="15" t="s">
        <v>29</v>
      </c>
      <c r="AB5" s="15" t="s">
        <v>30</v>
      </c>
      <c r="AC5" s="15" t="s">
        <v>31</v>
      </c>
      <c r="AD5" s="15" t="s">
        <v>32</v>
      </c>
      <c r="AE5" s="15" t="s">
        <v>33</v>
      </c>
      <c r="AF5" s="15" t="s">
        <v>34</v>
      </c>
      <c r="AG5" s="15" t="s">
        <v>35</v>
      </c>
      <c r="AH5" s="16" t="s">
        <v>36</v>
      </c>
      <c r="AI5" s="12" t="s">
        <v>37</v>
      </c>
      <c r="AJ5" s="12" t="s">
        <v>38</v>
      </c>
      <c r="AK5" s="12" t="s">
        <v>39</v>
      </c>
      <c r="AL5" s="17" t="s">
        <v>40</v>
      </c>
      <c r="AM5" s="18" t="s">
        <v>41</v>
      </c>
    </row>
    <row r="6" spans="1:39" s="33" customFormat="1" ht="12.75" customHeight="1" thickBot="1" x14ac:dyDescent="0.25">
      <c r="A6" s="20">
        <f>AM3</f>
        <v>46235</v>
      </c>
      <c r="B6" s="21">
        <f>A6</f>
        <v>46235</v>
      </c>
      <c r="C6" s="22" t="s">
        <v>42</v>
      </c>
      <c r="D6" s="23" t="s">
        <v>43</v>
      </c>
      <c r="E6" s="24">
        <v>2000</v>
      </c>
      <c r="F6" s="24">
        <v>1000</v>
      </c>
      <c r="G6" s="25"/>
      <c r="H6" s="26">
        <v>660</v>
      </c>
      <c r="I6" s="27">
        <f>IF(E6&lt;&gt;"",30,0)</f>
        <v>30</v>
      </c>
      <c r="J6" s="28">
        <f>H6-AH6</f>
        <v>660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30">
        <f>SUM(K6:AG6)</f>
        <v>0</v>
      </c>
      <c r="AI6" s="31">
        <f>IFERROR(J6/H6,"0")</f>
        <v>1</v>
      </c>
      <c r="AJ6" s="31">
        <f>IFERROR(F6/E6,"0")</f>
        <v>0.5</v>
      </c>
      <c r="AK6" s="31">
        <f>IFERROR(F6/(F6+G6),"0")</f>
        <v>1</v>
      </c>
      <c r="AL6" s="31">
        <f>IFERROR(AK6*AJ6*AI6,"0")</f>
        <v>0.5</v>
      </c>
      <c r="AM6" s="32" t="s">
        <v>44</v>
      </c>
    </row>
    <row r="7" spans="1:39" s="33" customFormat="1" ht="12.75" customHeight="1" thickBot="1" x14ac:dyDescent="0.25">
      <c r="A7" s="34"/>
      <c r="B7" s="35"/>
      <c r="C7" s="36" t="s">
        <v>42</v>
      </c>
      <c r="D7" s="37" t="s">
        <v>45</v>
      </c>
      <c r="E7" s="38">
        <v>3000</v>
      </c>
      <c r="F7" s="24">
        <v>3333</v>
      </c>
      <c r="G7" s="25"/>
      <c r="H7" s="26">
        <v>660</v>
      </c>
      <c r="I7" s="39">
        <f>IF(E7&lt;&gt;"",30,0)</f>
        <v>30</v>
      </c>
      <c r="J7" s="40">
        <f>H7-AH7</f>
        <v>660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>
        <f>SUM(K7:AG7)</f>
        <v>0</v>
      </c>
      <c r="AI7" s="43">
        <f>IFERROR(J7/H7,"0")</f>
        <v>1</v>
      </c>
      <c r="AJ7" s="43">
        <f>IFERROR(F7/E7,"0")</f>
        <v>1.111</v>
      </c>
      <c r="AK7" s="43">
        <f>IFERROR(F7/(F7+G7),"0")</f>
        <v>1</v>
      </c>
      <c r="AL7" s="43">
        <f>IFERROR(AK7*AJ7*AI7,"0")</f>
        <v>1.111</v>
      </c>
      <c r="AM7" s="32" t="s">
        <v>46</v>
      </c>
    </row>
    <row r="8" spans="1:39" s="33" customFormat="1" ht="12.75" customHeight="1" thickBot="1" x14ac:dyDescent="0.25">
      <c r="A8" s="44"/>
      <c r="B8" s="45"/>
      <c r="C8" s="46" t="s">
        <v>42</v>
      </c>
      <c r="D8" s="47" t="s">
        <v>47</v>
      </c>
      <c r="E8" s="48">
        <v>3000</v>
      </c>
      <c r="F8" s="24">
        <v>1590</v>
      </c>
      <c r="G8" s="25"/>
      <c r="H8" s="26">
        <v>660</v>
      </c>
      <c r="I8" s="49">
        <f t="shared" ref="I8:I71" si="0">IF(E8&lt;&gt;"",30,0)</f>
        <v>30</v>
      </c>
      <c r="J8" s="50">
        <f>H8-AH8</f>
        <v>660</v>
      </c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2">
        <f>SUM(K8:AG8)</f>
        <v>0</v>
      </c>
      <c r="AI8" s="53">
        <f>IFERROR(J8/H8,"0")</f>
        <v>1</v>
      </c>
      <c r="AJ8" s="53">
        <f>IFERROR(F8/E8,"0")</f>
        <v>0.53</v>
      </c>
      <c r="AK8" s="53">
        <f>IFERROR(F8/(F8+G8),"0")</f>
        <v>1</v>
      </c>
      <c r="AL8" s="53">
        <f>IFERROR(AK8*AJ8*AI8,"0")</f>
        <v>0.53</v>
      </c>
      <c r="AM8" s="32" t="s">
        <v>46</v>
      </c>
    </row>
    <row r="9" spans="1:39" s="33" customFormat="1" ht="12.75" customHeight="1" thickBot="1" x14ac:dyDescent="0.25">
      <c r="A9" s="20">
        <f>A6+1</f>
        <v>46236</v>
      </c>
      <c r="B9" s="21">
        <f>A9</f>
        <v>46236</v>
      </c>
      <c r="C9" s="22" t="s">
        <v>42</v>
      </c>
      <c r="D9" s="23" t="s">
        <v>43</v>
      </c>
      <c r="E9" s="24">
        <v>2000</v>
      </c>
      <c r="F9" s="24">
        <v>1333</v>
      </c>
      <c r="G9" s="25"/>
      <c r="H9" s="26">
        <v>660</v>
      </c>
      <c r="I9" s="27">
        <f t="shared" si="0"/>
        <v>30</v>
      </c>
      <c r="J9" s="28">
        <f>H9-AH9</f>
        <v>660</v>
      </c>
      <c r="K9" s="29"/>
      <c r="L9" s="29"/>
      <c r="M9" s="29"/>
      <c r="N9" s="41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30">
        <f t="shared" ref="AH9:AH72" si="1">SUM(K9:AG9)</f>
        <v>0</v>
      </c>
      <c r="AI9" s="31">
        <f>IFERROR(J9/H9,"0")</f>
        <v>1</v>
      </c>
      <c r="AJ9" s="31">
        <f>IFERROR(F9/E9,"0")</f>
        <v>0.66649999999999998</v>
      </c>
      <c r="AK9" s="31">
        <f t="shared" ref="AK9:AK72" si="2">IFERROR(F9/(F9+G9),"0")</f>
        <v>1</v>
      </c>
      <c r="AL9" s="31">
        <f t="shared" ref="AL9:AL72" si="3">IFERROR(AK9*AJ9*AI9,"0")</f>
        <v>0.66649999999999998</v>
      </c>
      <c r="AM9" s="32" t="s">
        <v>44</v>
      </c>
    </row>
    <row r="10" spans="1:39" s="33" customFormat="1" ht="12.75" customHeight="1" thickBot="1" x14ac:dyDescent="0.25">
      <c r="A10" s="34"/>
      <c r="B10" s="35"/>
      <c r="C10" s="36" t="s">
        <v>42</v>
      </c>
      <c r="D10" s="37" t="s">
        <v>45</v>
      </c>
      <c r="E10" s="38">
        <v>3000</v>
      </c>
      <c r="F10" s="24">
        <v>1900</v>
      </c>
      <c r="G10" s="25"/>
      <c r="H10" s="26">
        <v>660</v>
      </c>
      <c r="I10" s="39">
        <f t="shared" si="0"/>
        <v>30</v>
      </c>
      <c r="J10" s="40">
        <f t="shared" ref="J10:J73" si="4">H10-AH10</f>
        <v>660</v>
      </c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2">
        <f t="shared" si="1"/>
        <v>0</v>
      </c>
      <c r="AI10" s="43">
        <f t="shared" ref="AI10:AI73" si="5">IFERROR(J10/H10,"0")</f>
        <v>1</v>
      </c>
      <c r="AJ10" s="43">
        <f t="shared" ref="AJ10:AJ73" si="6">IFERROR(F10/E10,"0")</f>
        <v>0.6333333333333333</v>
      </c>
      <c r="AK10" s="43">
        <f t="shared" si="2"/>
        <v>1</v>
      </c>
      <c r="AL10" s="43">
        <f t="shared" si="3"/>
        <v>0.6333333333333333</v>
      </c>
      <c r="AM10" s="32" t="s">
        <v>46</v>
      </c>
    </row>
    <row r="11" spans="1:39" s="33" customFormat="1" ht="12.75" customHeight="1" thickBot="1" x14ac:dyDescent="0.25">
      <c r="A11" s="44"/>
      <c r="B11" s="45"/>
      <c r="C11" s="46" t="s">
        <v>42</v>
      </c>
      <c r="D11" s="47" t="s">
        <v>47</v>
      </c>
      <c r="E11" s="48">
        <v>3000</v>
      </c>
      <c r="F11" s="24">
        <v>1760</v>
      </c>
      <c r="G11" s="25"/>
      <c r="H11" s="26">
        <v>660</v>
      </c>
      <c r="I11" s="49">
        <f t="shared" si="0"/>
        <v>30</v>
      </c>
      <c r="J11" s="50">
        <f t="shared" si="4"/>
        <v>660</v>
      </c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2">
        <f t="shared" si="1"/>
        <v>0</v>
      </c>
      <c r="AI11" s="53">
        <f t="shared" si="5"/>
        <v>1</v>
      </c>
      <c r="AJ11" s="53">
        <f t="shared" si="6"/>
        <v>0.58666666666666667</v>
      </c>
      <c r="AK11" s="53">
        <f t="shared" si="2"/>
        <v>1</v>
      </c>
      <c r="AL11" s="53">
        <f t="shared" si="3"/>
        <v>0.58666666666666667</v>
      </c>
      <c r="AM11" s="32" t="s">
        <v>46</v>
      </c>
    </row>
    <row r="12" spans="1:39" s="33" customFormat="1" ht="12.75" customHeight="1" thickBot="1" x14ac:dyDescent="0.25">
      <c r="A12" s="20">
        <f t="shared" ref="A12" si="7">A9+1</f>
        <v>46237</v>
      </c>
      <c r="B12" s="21">
        <f t="shared" ref="B12" si="8">A12</f>
        <v>46237</v>
      </c>
      <c r="C12" s="22" t="s">
        <v>42</v>
      </c>
      <c r="D12" s="23" t="s">
        <v>43</v>
      </c>
      <c r="E12" s="24">
        <v>2000</v>
      </c>
      <c r="F12" s="24">
        <v>1405</v>
      </c>
      <c r="G12" s="25"/>
      <c r="H12" s="26">
        <v>660</v>
      </c>
      <c r="I12" s="27">
        <f t="shared" si="0"/>
        <v>30</v>
      </c>
      <c r="J12" s="28">
        <f t="shared" si="4"/>
        <v>660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30">
        <f t="shared" si="1"/>
        <v>0</v>
      </c>
      <c r="AI12" s="31">
        <f t="shared" si="5"/>
        <v>1</v>
      </c>
      <c r="AJ12" s="31">
        <f t="shared" si="6"/>
        <v>0.70250000000000001</v>
      </c>
      <c r="AK12" s="31">
        <f t="shared" si="2"/>
        <v>1</v>
      </c>
      <c r="AL12" s="31">
        <f t="shared" si="3"/>
        <v>0.70250000000000001</v>
      </c>
      <c r="AM12" s="32"/>
    </row>
    <row r="13" spans="1:39" s="33" customFormat="1" ht="12.75" customHeight="1" thickBot="1" x14ac:dyDescent="0.25">
      <c r="A13" s="34"/>
      <c r="B13" s="35"/>
      <c r="C13" s="36" t="s">
        <v>42</v>
      </c>
      <c r="D13" s="37" t="s">
        <v>45</v>
      </c>
      <c r="E13" s="38">
        <v>3000</v>
      </c>
      <c r="F13" s="24">
        <v>1800</v>
      </c>
      <c r="G13" s="25"/>
      <c r="H13" s="26">
        <v>660</v>
      </c>
      <c r="I13" s="39">
        <f t="shared" si="0"/>
        <v>30</v>
      </c>
      <c r="J13" s="40">
        <f t="shared" si="4"/>
        <v>660</v>
      </c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2">
        <f t="shared" si="1"/>
        <v>0</v>
      </c>
      <c r="AI13" s="43">
        <f t="shared" si="5"/>
        <v>1</v>
      </c>
      <c r="AJ13" s="43">
        <f t="shared" si="6"/>
        <v>0.6</v>
      </c>
      <c r="AK13" s="43">
        <f t="shared" si="2"/>
        <v>1</v>
      </c>
      <c r="AL13" s="43">
        <f t="shared" si="3"/>
        <v>0.6</v>
      </c>
      <c r="AM13" s="32"/>
    </row>
    <row r="14" spans="1:39" s="33" customFormat="1" ht="12.75" customHeight="1" thickBot="1" x14ac:dyDescent="0.25">
      <c r="A14" s="44"/>
      <c r="B14" s="45"/>
      <c r="C14" s="46" t="s">
        <v>42</v>
      </c>
      <c r="D14" s="47" t="s">
        <v>47</v>
      </c>
      <c r="E14" s="48">
        <v>3000</v>
      </c>
      <c r="F14" s="24">
        <v>2176</v>
      </c>
      <c r="G14" s="25"/>
      <c r="H14" s="26">
        <v>660</v>
      </c>
      <c r="I14" s="49">
        <f t="shared" si="0"/>
        <v>30</v>
      </c>
      <c r="J14" s="50">
        <f t="shared" si="4"/>
        <v>660</v>
      </c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2">
        <f t="shared" si="1"/>
        <v>0</v>
      </c>
      <c r="AI14" s="53">
        <f t="shared" si="5"/>
        <v>1</v>
      </c>
      <c r="AJ14" s="53">
        <f t="shared" si="6"/>
        <v>0.72533333333333339</v>
      </c>
      <c r="AK14" s="53">
        <f t="shared" si="2"/>
        <v>1</v>
      </c>
      <c r="AL14" s="53">
        <f t="shared" si="3"/>
        <v>0.72533333333333339</v>
      </c>
      <c r="AM14" s="32"/>
    </row>
    <row r="15" spans="1:39" s="33" customFormat="1" ht="12.75" customHeight="1" thickBot="1" x14ac:dyDescent="0.25">
      <c r="A15" s="20">
        <f t="shared" ref="A15" si="9">A12+1</f>
        <v>46238</v>
      </c>
      <c r="B15" s="21">
        <f t="shared" ref="B15" si="10">A15</f>
        <v>46238</v>
      </c>
      <c r="C15" s="22" t="s">
        <v>42</v>
      </c>
      <c r="D15" s="23" t="s">
        <v>43</v>
      </c>
      <c r="E15" s="24">
        <v>2000</v>
      </c>
      <c r="F15" s="24">
        <v>1138</v>
      </c>
      <c r="G15" s="25"/>
      <c r="H15" s="26">
        <v>660</v>
      </c>
      <c r="I15" s="27">
        <f t="shared" si="0"/>
        <v>30</v>
      </c>
      <c r="J15" s="28">
        <f t="shared" si="4"/>
        <v>660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30">
        <f t="shared" si="1"/>
        <v>0</v>
      </c>
      <c r="AI15" s="31">
        <f t="shared" si="5"/>
        <v>1</v>
      </c>
      <c r="AJ15" s="31">
        <f t="shared" si="6"/>
        <v>0.56899999999999995</v>
      </c>
      <c r="AK15" s="31">
        <f t="shared" si="2"/>
        <v>1</v>
      </c>
      <c r="AL15" s="31">
        <f t="shared" si="3"/>
        <v>0.56899999999999995</v>
      </c>
      <c r="AM15" s="32" t="s">
        <v>44</v>
      </c>
    </row>
    <row r="16" spans="1:39" s="33" customFormat="1" ht="12.75" customHeight="1" thickBot="1" x14ac:dyDescent="0.25">
      <c r="A16" s="34"/>
      <c r="B16" s="35"/>
      <c r="C16" s="36" t="s">
        <v>42</v>
      </c>
      <c r="D16" s="37" t="s">
        <v>45</v>
      </c>
      <c r="E16" s="38">
        <v>3000</v>
      </c>
      <c r="F16" s="24">
        <v>1700</v>
      </c>
      <c r="G16" s="25"/>
      <c r="H16" s="26">
        <v>660</v>
      </c>
      <c r="I16" s="39">
        <f t="shared" si="0"/>
        <v>30</v>
      </c>
      <c r="J16" s="40">
        <f t="shared" si="4"/>
        <v>660</v>
      </c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2">
        <f t="shared" si="1"/>
        <v>0</v>
      </c>
      <c r="AI16" s="43">
        <f t="shared" si="5"/>
        <v>1</v>
      </c>
      <c r="AJ16" s="43">
        <f t="shared" si="6"/>
        <v>0.56666666666666665</v>
      </c>
      <c r="AK16" s="43">
        <f t="shared" si="2"/>
        <v>1</v>
      </c>
      <c r="AL16" s="43">
        <f t="shared" si="3"/>
        <v>0.56666666666666665</v>
      </c>
      <c r="AM16" s="32" t="s">
        <v>46</v>
      </c>
    </row>
    <row r="17" spans="1:39" s="33" customFormat="1" ht="12.75" customHeight="1" thickBot="1" x14ac:dyDescent="0.25">
      <c r="A17" s="34"/>
      <c r="B17" s="35"/>
      <c r="C17" s="54" t="s">
        <v>42</v>
      </c>
      <c r="D17" s="55" t="s">
        <v>47</v>
      </c>
      <c r="E17" s="56">
        <v>3000</v>
      </c>
      <c r="F17" s="24">
        <v>2129</v>
      </c>
      <c r="G17" s="57"/>
      <c r="H17" s="26">
        <v>660</v>
      </c>
      <c r="I17" s="58">
        <f t="shared" si="0"/>
        <v>30</v>
      </c>
      <c r="J17" s="59">
        <f t="shared" si="4"/>
        <v>660</v>
      </c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1">
        <f t="shared" si="1"/>
        <v>0</v>
      </c>
      <c r="AI17" s="62">
        <f t="shared" si="5"/>
        <v>1</v>
      </c>
      <c r="AJ17" s="62">
        <f t="shared" si="6"/>
        <v>0.70966666666666667</v>
      </c>
      <c r="AK17" s="62">
        <f t="shared" si="2"/>
        <v>1</v>
      </c>
      <c r="AL17" s="62">
        <f t="shared" si="3"/>
        <v>0.70966666666666667</v>
      </c>
      <c r="AM17" s="32" t="s">
        <v>46</v>
      </c>
    </row>
    <row r="18" spans="1:39" s="33" customFormat="1" ht="12.75" customHeight="1" thickBot="1" x14ac:dyDescent="0.25">
      <c r="A18" s="20">
        <f t="shared" ref="A18" si="11">A15+1</f>
        <v>46239</v>
      </c>
      <c r="B18" s="21">
        <f t="shared" ref="B18" si="12">A18</f>
        <v>46239</v>
      </c>
      <c r="C18" s="22" t="s">
        <v>42</v>
      </c>
      <c r="D18" s="23" t="s">
        <v>43</v>
      </c>
      <c r="E18" s="24">
        <v>2050</v>
      </c>
      <c r="F18" s="24">
        <v>2030</v>
      </c>
      <c r="G18" s="25"/>
      <c r="H18" s="26">
        <v>660</v>
      </c>
      <c r="I18" s="27">
        <f t="shared" si="0"/>
        <v>30</v>
      </c>
      <c r="J18" s="28">
        <f t="shared" si="4"/>
        <v>660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30">
        <f t="shared" si="1"/>
        <v>0</v>
      </c>
      <c r="AI18" s="31">
        <f t="shared" si="5"/>
        <v>1</v>
      </c>
      <c r="AJ18" s="31">
        <f t="shared" si="6"/>
        <v>0.99024390243902438</v>
      </c>
      <c r="AK18" s="31">
        <f t="shared" si="2"/>
        <v>1</v>
      </c>
      <c r="AL18" s="31">
        <f t="shared" si="3"/>
        <v>0.99024390243902438</v>
      </c>
      <c r="AM18" s="32" t="s">
        <v>48</v>
      </c>
    </row>
    <row r="19" spans="1:39" s="33" customFormat="1" ht="12.75" customHeight="1" thickBot="1" x14ac:dyDescent="0.25">
      <c r="A19" s="34"/>
      <c r="B19" s="35"/>
      <c r="C19" s="36" t="s">
        <v>42</v>
      </c>
      <c r="D19" s="37" t="s">
        <v>45</v>
      </c>
      <c r="E19" s="38"/>
      <c r="F19" s="24"/>
      <c r="G19" s="25"/>
      <c r="H19" s="26"/>
      <c r="I19" s="39">
        <f t="shared" si="0"/>
        <v>0</v>
      </c>
      <c r="J19" s="40">
        <f t="shared" si="4"/>
        <v>0</v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2">
        <f t="shared" si="1"/>
        <v>0</v>
      </c>
      <c r="AI19" s="43" t="str">
        <f t="shared" si="5"/>
        <v>0</v>
      </c>
      <c r="AJ19" s="43" t="str">
        <f t="shared" si="6"/>
        <v>0</v>
      </c>
      <c r="AK19" s="43" t="str">
        <f t="shared" si="2"/>
        <v>0</v>
      </c>
      <c r="AL19" s="43">
        <f t="shared" si="3"/>
        <v>0</v>
      </c>
      <c r="AM19" s="32" t="s">
        <v>48</v>
      </c>
    </row>
    <row r="20" spans="1:39" s="33" customFormat="1" ht="12.75" customHeight="1" thickBot="1" x14ac:dyDescent="0.25">
      <c r="A20" s="44"/>
      <c r="B20" s="45"/>
      <c r="C20" s="46" t="s">
        <v>42</v>
      </c>
      <c r="D20" s="47" t="s">
        <v>47</v>
      </c>
      <c r="E20" s="48"/>
      <c r="F20" s="24"/>
      <c r="G20" s="63"/>
      <c r="H20" s="26"/>
      <c r="I20" s="49">
        <f t="shared" si="0"/>
        <v>0</v>
      </c>
      <c r="J20" s="50">
        <f t="shared" si="4"/>
        <v>0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2">
        <f t="shared" si="1"/>
        <v>0</v>
      </c>
      <c r="AI20" s="53" t="str">
        <f t="shared" si="5"/>
        <v>0</v>
      </c>
      <c r="AJ20" s="53" t="str">
        <f t="shared" si="6"/>
        <v>0</v>
      </c>
      <c r="AK20" s="53" t="str">
        <f t="shared" si="2"/>
        <v>0</v>
      </c>
      <c r="AL20" s="53">
        <f t="shared" si="3"/>
        <v>0</v>
      </c>
      <c r="AM20" s="32" t="s">
        <v>48</v>
      </c>
    </row>
    <row r="21" spans="1:39" s="33" customFormat="1" ht="12.75" customHeight="1" thickBot="1" x14ac:dyDescent="0.25">
      <c r="A21" s="34">
        <f t="shared" ref="A21" si="13">A18+1</f>
        <v>46240</v>
      </c>
      <c r="B21" s="35">
        <f t="shared" ref="B21" si="14">A21</f>
        <v>46240</v>
      </c>
      <c r="C21" s="64" t="s">
        <v>42</v>
      </c>
      <c r="D21" s="65" t="s">
        <v>43</v>
      </c>
      <c r="E21" s="38"/>
      <c r="F21" s="24"/>
      <c r="G21" s="66"/>
      <c r="H21" s="26"/>
      <c r="I21" s="67">
        <f t="shared" si="0"/>
        <v>0</v>
      </c>
      <c r="J21" s="68">
        <f t="shared" si="4"/>
        <v>0</v>
      </c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70">
        <f t="shared" si="1"/>
        <v>0</v>
      </c>
      <c r="AI21" s="71" t="str">
        <f t="shared" si="5"/>
        <v>0</v>
      </c>
      <c r="AJ21" s="71" t="str">
        <f t="shared" si="6"/>
        <v>0</v>
      </c>
      <c r="AK21" s="71" t="str">
        <f t="shared" si="2"/>
        <v>0</v>
      </c>
      <c r="AL21" s="71">
        <f t="shared" si="3"/>
        <v>0</v>
      </c>
      <c r="AM21" s="32" t="s">
        <v>48</v>
      </c>
    </row>
    <row r="22" spans="1:39" s="33" customFormat="1" ht="12.75" customHeight="1" thickBot="1" x14ac:dyDescent="0.25">
      <c r="A22" s="34"/>
      <c r="B22" s="35"/>
      <c r="C22" s="36" t="s">
        <v>42</v>
      </c>
      <c r="D22" s="37" t="s">
        <v>45</v>
      </c>
      <c r="E22" s="38"/>
      <c r="F22" s="24"/>
      <c r="G22" s="25"/>
      <c r="H22" s="26"/>
      <c r="I22" s="39">
        <f t="shared" si="0"/>
        <v>0</v>
      </c>
      <c r="J22" s="40">
        <f t="shared" si="4"/>
        <v>0</v>
      </c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2">
        <f t="shared" si="1"/>
        <v>0</v>
      </c>
      <c r="AI22" s="43" t="str">
        <f t="shared" si="5"/>
        <v>0</v>
      </c>
      <c r="AJ22" s="43" t="str">
        <f t="shared" si="6"/>
        <v>0</v>
      </c>
      <c r="AK22" s="43" t="str">
        <f t="shared" si="2"/>
        <v>0</v>
      </c>
      <c r="AL22" s="43">
        <f t="shared" si="3"/>
        <v>0</v>
      </c>
      <c r="AM22" s="32" t="s">
        <v>48</v>
      </c>
    </row>
    <row r="23" spans="1:39" s="33" customFormat="1" ht="12.75" customHeight="1" thickBot="1" x14ac:dyDescent="0.25">
      <c r="A23" s="44"/>
      <c r="B23" s="45"/>
      <c r="C23" s="46" t="s">
        <v>42</v>
      </c>
      <c r="D23" s="47" t="s">
        <v>47</v>
      </c>
      <c r="E23" s="48"/>
      <c r="F23" s="24"/>
      <c r="G23" s="25"/>
      <c r="H23" s="26"/>
      <c r="I23" s="49">
        <f t="shared" si="0"/>
        <v>0</v>
      </c>
      <c r="J23" s="50">
        <f t="shared" si="4"/>
        <v>0</v>
      </c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2">
        <f t="shared" si="1"/>
        <v>0</v>
      </c>
      <c r="AI23" s="53" t="str">
        <f t="shared" si="5"/>
        <v>0</v>
      </c>
      <c r="AJ23" s="53" t="str">
        <f t="shared" si="6"/>
        <v>0</v>
      </c>
      <c r="AK23" s="53" t="str">
        <f t="shared" si="2"/>
        <v>0</v>
      </c>
      <c r="AL23" s="53">
        <f t="shared" si="3"/>
        <v>0</v>
      </c>
      <c r="AM23" s="32" t="s">
        <v>48</v>
      </c>
    </row>
    <row r="24" spans="1:39" s="33" customFormat="1" ht="12.75" customHeight="1" thickBot="1" x14ac:dyDescent="0.25">
      <c r="A24" s="20">
        <f t="shared" ref="A24" si="15">A21+1</f>
        <v>46241</v>
      </c>
      <c r="B24" s="21">
        <f t="shared" ref="B24" si="16">A24</f>
        <v>46241</v>
      </c>
      <c r="C24" s="22" t="s">
        <v>42</v>
      </c>
      <c r="D24" s="23" t="s">
        <v>43</v>
      </c>
      <c r="E24" s="24"/>
      <c r="F24" s="24"/>
      <c r="G24" s="25"/>
      <c r="H24" s="26"/>
      <c r="I24" s="27">
        <f t="shared" si="0"/>
        <v>0</v>
      </c>
      <c r="J24" s="28">
        <f t="shared" si="4"/>
        <v>0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30">
        <f t="shared" si="1"/>
        <v>0</v>
      </c>
      <c r="AI24" s="31" t="str">
        <f t="shared" si="5"/>
        <v>0</v>
      </c>
      <c r="AJ24" s="31" t="str">
        <f t="shared" si="6"/>
        <v>0</v>
      </c>
      <c r="AK24" s="31" t="str">
        <f t="shared" si="2"/>
        <v>0</v>
      </c>
      <c r="AL24" s="31">
        <f t="shared" si="3"/>
        <v>0</v>
      </c>
      <c r="AM24" s="32" t="s">
        <v>48</v>
      </c>
    </row>
    <row r="25" spans="1:39" s="33" customFormat="1" ht="12.75" customHeight="1" thickBot="1" x14ac:dyDescent="0.25">
      <c r="A25" s="34"/>
      <c r="B25" s="35"/>
      <c r="C25" s="36" t="s">
        <v>42</v>
      </c>
      <c r="D25" s="37" t="s">
        <v>45</v>
      </c>
      <c r="E25" s="38"/>
      <c r="F25" s="24"/>
      <c r="G25" s="25"/>
      <c r="H25" s="26"/>
      <c r="I25" s="39">
        <f t="shared" si="0"/>
        <v>0</v>
      </c>
      <c r="J25" s="40">
        <f t="shared" si="4"/>
        <v>0</v>
      </c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2">
        <f t="shared" si="1"/>
        <v>0</v>
      </c>
      <c r="AI25" s="43" t="str">
        <f t="shared" si="5"/>
        <v>0</v>
      </c>
      <c r="AJ25" s="43" t="str">
        <f t="shared" si="6"/>
        <v>0</v>
      </c>
      <c r="AK25" s="43" t="str">
        <f t="shared" si="2"/>
        <v>0</v>
      </c>
      <c r="AL25" s="43">
        <f t="shared" si="3"/>
        <v>0</v>
      </c>
      <c r="AM25" s="32" t="s">
        <v>48</v>
      </c>
    </row>
    <row r="26" spans="1:39" s="33" customFormat="1" ht="12.75" customHeight="1" thickBot="1" x14ac:dyDescent="0.25">
      <c r="A26" s="44"/>
      <c r="B26" s="45"/>
      <c r="C26" s="46" t="s">
        <v>42</v>
      </c>
      <c r="D26" s="47" t="s">
        <v>47</v>
      </c>
      <c r="E26" s="48"/>
      <c r="F26" s="24"/>
      <c r="G26" s="25"/>
      <c r="H26" s="26"/>
      <c r="I26" s="49">
        <f t="shared" si="0"/>
        <v>0</v>
      </c>
      <c r="J26" s="50">
        <f t="shared" si="4"/>
        <v>0</v>
      </c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2">
        <f t="shared" si="1"/>
        <v>0</v>
      </c>
      <c r="AI26" s="53" t="str">
        <f t="shared" si="5"/>
        <v>0</v>
      </c>
      <c r="AJ26" s="53" t="str">
        <f t="shared" si="6"/>
        <v>0</v>
      </c>
      <c r="AK26" s="53" t="str">
        <f t="shared" si="2"/>
        <v>0</v>
      </c>
      <c r="AL26" s="53">
        <f t="shared" si="3"/>
        <v>0</v>
      </c>
      <c r="AM26" s="32" t="s">
        <v>48</v>
      </c>
    </row>
    <row r="27" spans="1:39" s="33" customFormat="1" ht="12.75" customHeight="1" thickBot="1" x14ac:dyDescent="0.25">
      <c r="A27" s="20">
        <f t="shared" ref="A27" si="17">A24+1</f>
        <v>46242</v>
      </c>
      <c r="B27" s="21">
        <f t="shared" ref="B27" si="18">A27</f>
        <v>46242</v>
      </c>
      <c r="C27" s="22" t="s">
        <v>42</v>
      </c>
      <c r="D27" s="23" t="s">
        <v>43</v>
      </c>
      <c r="E27" s="24">
        <v>2000</v>
      </c>
      <c r="F27" s="24">
        <v>1950</v>
      </c>
      <c r="G27" s="25"/>
      <c r="H27" s="26">
        <v>660</v>
      </c>
      <c r="I27" s="27">
        <f t="shared" si="0"/>
        <v>30</v>
      </c>
      <c r="J27" s="28">
        <f t="shared" si="4"/>
        <v>660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30">
        <f t="shared" si="1"/>
        <v>0</v>
      </c>
      <c r="AI27" s="31">
        <f t="shared" si="5"/>
        <v>1</v>
      </c>
      <c r="AJ27" s="31">
        <f t="shared" si="6"/>
        <v>0.97499999999999998</v>
      </c>
      <c r="AK27" s="31">
        <f t="shared" si="2"/>
        <v>1</v>
      </c>
      <c r="AL27" s="31">
        <f t="shared" si="3"/>
        <v>0.97499999999999998</v>
      </c>
      <c r="AM27" s="32" t="s">
        <v>44</v>
      </c>
    </row>
    <row r="28" spans="1:39" s="33" customFormat="1" ht="12.75" customHeight="1" thickBot="1" x14ac:dyDescent="0.25">
      <c r="A28" s="34"/>
      <c r="B28" s="35"/>
      <c r="C28" s="36" t="s">
        <v>42</v>
      </c>
      <c r="D28" s="37" t="s">
        <v>45</v>
      </c>
      <c r="E28" s="38">
        <v>3000</v>
      </c>
      <c r="F28" s="24">
        <v>2200</v>
      </c>
      <c r="G28" s="25"/>
      <c r="H28" s="26">
        <v>660</v>
      </c>
      <c r="I28" s="39">
        <f t="shared" si="0"/>
        <v>30</v>
      </c>
      <c r="J28" s="40">
        <f t="shared" si="4"/>
        <v>660</v>
      </c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2">
        <f t="shared" si="1"/>
        <v>0</v>
      </c>
      <c r="AI28" s="43">
        <f t="shared" si="5"/>
        <v>1</v>
      </c>
      <c r="AJ28" s="43">
        <f t="shared" si="6"/>
        <v>0.73333333333333328</v>
      </c>
      <c r="AK28" s="43">
        <f t="shared" si="2"/>
        <v>1</v>
      </c>
      <c r="AL28" s="43">
        <f t="shared" si="3"/>
        <v>0.73333333333333328</v>
      </c>
      <c r="AM28" s="32" t="s">
        <v>46</v>
      </c>
    </row>
    <row r="29" spans="1:39" s="33" customFormat="1" ht="12.75" customHeight="1" thickBot="1" x14ac:dyDescent="0.25">
      <c r="A29" s="44"/>
      <c r="B29" s="45"/>
      <c r="C29" s="46" t="s">
        <v>42</v>
      </c>
      <c r="D29" s="47" t="s">
        <v>47</v>
      </c>
      <c r="E29" s="48">
        <v>3000</v>
      </c>
      <c r="F29" s="24">
        <v>1820</v>
      </c>
      <c r="G29" s="25"/>
      <c r="H29" s="26">
        <v>660</v>
      </c>
      <c r="I29" s="49">
        <f t="shared" si="0"/>
        <v>30</v>
      </c>
      <c r="J29" s="50">
        <f t="shared" si="4"/>
        <v>660</v>
      </c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2">
        <f t="shared" si="1"/>
        <v>0</v>
      </c>
      <c r="AI29" s="53">
        <f t="shared" si="5"/>
        <v>1</v>
      </c>
      <c r="AJ29" s="53">
        <f t="shared" si="6"/>
        <v>0.60666666666666669</v>
      </c>
      <c r="AK29" s="53">
        <f t="shared" si="2"/>
        <v>1</v>
      </c>
      <c r="AL29" s="53">
        <f t="shared" si="3"/>
        <v>0.60666666666666669</v>
      </c>
      <c r="AM29" s="32" t="s">
        <v>46</v>
      </c>
    </row>
    <row r="30" spans="1:39" s="33" customFormat="1" ht="12.75" customHeight="1" thickBot="1" x14ac:dyDescent="0.25">
      <c r="A30" s="20">
        <f t="shared" ref="A30" si="19">A27+1</f>
        <v>46243</v>
      </c>
      <c r="B30" s="21">
        <f t="shared" ref="B30" si="20">A30</f>
        <v>46243</v>
      </c>
      <c r="C30" s="22" t="s">
        <v>42</v>
      </c>
      <c r="D30" s="23" t="s">
        <v>43</v>
      </c>
      <c r="E30" s="24">
        <v>2000</v>
      </c>
      <c r="F30" s="24">
        <v>1800</v>
      </c>
      <c r="G30" s="25"/>
      <c r="H30" s="26">
        <v>660</v>
      </c>
      <c r="I30" s="27">
        <f t="shared" si="0"/>
        <v>30</v>
      </c>
      <c r="J30" s="28">
        <f t="shared" si="4"/>
        <v>660</v>
      </c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30">
        <f t="shared" si="1"/>
        <v>0</v>
      </c>
      <c r="AI30" s="31">
        <f t="shared" si="5"/>
        <v>1</v>
      </c>
      <c r="AJ30" s="31">
        <f t="shared" si="6"/>
        <v>0.9</v>
      </c>
      <c r="AK30" s="31">
        <f t="shared" si="2"/>
        <v>1</v>
      </c>
      <c r="AL30" s="31">
        <f t="shared" si="3"/>
        <v>0.9</v>
      </c>
      <c r="AM30" s="32" t="s">
        <v>44</v>
      </c>
    </row>
    <row r="31" spans="1:39" s="33" customFormat="1" ht="12.75" customHeight="1" thickBot="1" x14ac:dyDescent="0.25">
      <c r="A31" s="34"/>
      <c r="B31" s="35"/>
      <c r="C31" s="36" t="s">
        <v>42</v>
      </c>
      <c r="D31" s="37" t="s">
        <v>45</v>
      </c>
      <c r="E31" s="38">
        <v>3000</v>
      </c>
      <c r="F31" s="24">
        <v>1120</v>
      </c>
      <c r="G31" s="25"/>
      <c r="H31" s="26">
        <v>660</v>
      </c>
      <c r="I31" s="39">
        <f t="shared" si="0"/>
        <v>30</v>
      </c>
      <c r="J31" s="40">
        <f t="shared" si="4"/>
        <v>660</v>
      </c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2">
        <f t="shared" si="1"/>
        <v>0</v>
      </c>
      <c r="AI31" s="43">
        <f t="shared" si="5"/>
        <v>1</v>
      </c>
      <c r="AJ31" s="43">
        <f t="shared" si="6"/>
        <v>0.37333333333333335</v>
      </c>
      <c r="AK31" s="43">
        <f t="shared" si="2"/>
        <v>1</v>
      </c>
      <c r="AL31" s="43">
        <f t="shared" si="3"/>
        <v>0.37333333333333335</v>
      </c>
      <c r="AM31" s="32" t="s">
        <v>46</v>
      </c>
    </row>
    <row r="32" spans="1:39" s="33" customFormat="1" ht="12.75" customHeight="1" thickBot="1" x14ac:dyDescent="0.25">
      <c r="A32" s="44"/>
      <c r="B32" s="45"/>
      <c r="C32" s="46" t="s">
        <v>42</v>
      </c>
      <c r="D32" s="47" t="s">
        <v>47</v>
      </c>
      <c r="E32" s="48">
        <v>3000</v>
      </c>
      <c r="F32" s="24">
        <v>2180</v>
      </c>
      <c r="G32" s="25"/>
      <c r="H32" s="26">
        <v>660</v>
      </c>
      <c r="I32" s="49">
        <f t="shared" si="0"/>
        <v>30</v>
      </c>
      <c r="J32" s="50">
        <f t="shared" si="4"/>
        <v>660</v>
      </c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2">
        <f t="shared" si="1"/>
        <v>0</v>
      </c>
      <c r="AI32" s="53">
        <f t="shared" si="5"/>
        <v>1</v>
      </c>
      <c r="AJ32" s="53">
        <f t="shared" si="6"/>
        <v>0.72666666666666668</v>
      </c>
      <c r="AK32" s="53">
        <f t="shared" si="2"/>
        <v>1</v>
      </c>
      <c r="AL32" s="53">
        <f t="shared" si="3"/>
        <v>0.72666666666666668</v>
      </c>
      <c r="AM32" s="32" t="s">
        <v>46</v>
      </c>
    </row>
    <row r="33" spans="1:39" s="33" customFormat="1" ht="12.75" customHeight="1" thickBot="1" x14ac:dyDescent="0.25">
      <c r="A33" s="20">
        <f t="shared" ref="A33" si="21">A30+1</f>
        <v>46244</v>
      </c>
      <c r="B33" s="21">
        <f t="shared" ref="B33" si="22">A33</f>
        <v>46244</v>
      </c>
      <c r="C33" s="22" t="s">
        <v>42</v>
      </c>
      <c r="D33" s="23" t="s">
        <v>43</v>
      </c>
      <c r="E33" s="24">
        <v>2000</v>
      </c>
      <c r="F33" s="24">
        <v>1850</v>
      </c>
      <c r="G33" s="25"/>
      <c r="H33" s="26">
        <v>660</v>
      </c>
      <c r="I33" s="27">
        <f t="shared" si="0"/>
        <v>30</v>
      </c>
      <c r="J33" s="28">
        <f t="shared" si="4"/>
        <v>660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30">
        <f t="shared" si="1"/>
        <v>0</v>
      </c>
      <c r="AI33" s="31">
        <f t="shared" si="5"/>
        <v>1</v>
      </c>
      <c r="AJ33" s="31">
        <f t="shared" si="6"/>
        <v>0.92500000000000004</v>
      </c>
      <c r="AK33" s="31">
        <f t="shared" si="2"/>
        <v>1</v>
      </c>
      <c r="AL33" s="31">
        <f t="shared" si="3"/>
        <v>0.92500000000000004</v>
      </c>
      <c r="AM33" s="32"/>
    </row>
    <row r="34" spans="1:39" s="33" customFormat="1" ht="12.75" customHeight="1" thickBot="1" x14ac:dyDescent="0.25">
      <c r="A34" s="34"/>
      <c r="B34" s="35"/>
      <c r="C34" s="36" t="s">
        <v>42</v>
      </c>
      <c r="D34" s="37" t="s">
        <v>45</v>
      </c>
      <c r="E34" s="38">
        <v>3000</v>
      </c>
      <c r="F34" s="24">
        <v>1450</v>
      </c>
      <c r="G34" s="25"/>
      <c r="H34" s="26">
        <v>660</v>
      </c>
      <c r="I34" s="39">
        <f t="shared" si="0"/>
        <v>30</v>
      </c>
      <c r="J34" s="40">
        <f t="shared" si="4"/>
        <v>660</v>
      </c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2">
        <f t="shared" si="1"/>
        <v>0</v>
      </c>
      <c r="AI34" s="43">
        <f t="shared" si="5"/>
        <v>1</v>
      </c>
      <c r="AJ34" s="43">
        <f t="shared" si="6"/>
        <v>0.48333333333333334</v>
      </c>
      <c r="AK34" s="43">
        <f t="shared" si="2"/>
        <v>1</v>
      </c>
      <c r="AL34" s="43">
        <f t="shared" si="3"/>
        <v>0.48333333333333334</v>
      </c>
      <c r="AM34" s="32"/>
    </row>
    <row r="35" spans="1:39" s="33" customFormat="1" ht="12.75" customHeight="1" thickBot="1" x14ac:dyDescent="0.25">
      <c r="A35" s="44"/>
      <c r="B35" s="45"/>
      <c r="C35" s="46" t="s">
        <v>42</v>
      </c>
      <c r="D35" s="47" t="s">
        <v>47</v>
      </c>
      <c r="E35" s="48">
        <v>3000</v>
      </c>
      <c r="F35" s="24">
        <v>1470</v>
      </c>
      <c r="G35" s="25"/>
      <c r="H35" s="26">
        <v>660</v>
      </c>
      <c r="I35" s="49">
        <f t="shared" si="0"/>
        <v>30</v>
      </c>
      <c r="J35" s="50">
        <f t="shared" si="4"/>
        <v>660</v>
      </c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2">
        <f t="shared" si="1"/>
        <v>0</v>
      </c>
      <c r="AI35" s="53">
        <f t="shared" si="5"/>
        <v>1</v>
      </c>
      <c r="AJ35" s="53">
        <f t="shared" si="6"/>
        <v>0.49</v>
      </c>
      <c r="AK35" s="53">
        <f t="shared" si="2"/>
        <v>1</v>
      </c>
      <c r="AL35" s="53">
        <f t="shared" si="3"/>
        <v>0.49</v>
      </c>
      <c r="AM35" s="32"/>
    </row>
    <row r="36" spans="1:39" s="33" customFormat="1" ht="12.75" customHeight="1" thickBot="1" x14ac:dyDescent="0.25">
      <c r="A36" s="20">
        <f t="shared" ref="A36" si="23">A33+1</f>
        <v>46245</v>
      </c>
      <c r="B36" s="21">
        <f t="shared" ref="B36" si="24">A36</f>
        <v>46245</v>
      </c>
      <c r="C36" s="22" t="s">
        <v>42</v>
      </c>
      <c r="D36" s="23" t="s">
        <v>43</v>
      </c>
      <c r="E36" s="24">
        <v>2000</v>
      </c>
      <c r="F36" s="24">
        <v>1680</v>
      </c>
      <c r="G36" s="25"/>
      <c r="H36" s="26">
        <v>660</v>
      </c>
      <c r="I36" s="27">
        <f t="shared" si="0"/>
        <v>30</v>
      </c>
      <c r="J36" s="28">
        <f t="shared" si="4"/>
        <v>660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30">
        <f t="shared" si="1"/>
        <v>0</v>
      </c>
      <c r="AI36" s="31">
        <f t="shared" si="5"/>
        <v>1</v>
      </c>
      <c r="AJ36" s="31">
        <f t="shared" si="6"/>
        <v>0.84</v>
      </c>
      <c r="AK36" s="31">
        <f t="shared" si="2"/>
        <v>1</v>
      </c>
      <c r="AL36" s="31">
        <f t="shared" si="3"/>
        <v>0.84</v>
      </c>
      <c r="AM36" s="32" t="s">
        <v>44</v>
      </c>
    </row>
    <row r="37" spans="1:39" s="33" customFormat="1" ht="12.75" customHeight="1" thickBot="1" x14ac:dyDescent="0.25">
      <c r="A37" s="34"/>
      <c r="B37" s="35"/>
      <c r="C37" s="36" t="s">
        <v>42</v>
      </c>
      <c r="D37" s="37" t="s">
        <v>45</v>
      </c>
      <c r="E37" s="38">
        <v>3000</v>
      </c>
      <c r="F37" s="24">
        <v>1600</v>
      </c>
      <c r="G37" s="25"/>
      <c r="H37" s="26">
        <v>660</v>
      </c>
      <c r="I37" s="39">
        <f>IF(E37&lt;&gt;"",30,0)</f>
        <v>30</v>
      </c>
      <c r="J37" s="40">
        <f t="shared" si="4"/>
        <v>660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2">
        <f t="shared" si="1"/>
        <v>0</v>
      </c>
      <c r="AI37" s="43">
        <f t="shared" si="5"/>
        <v>1</v>
      </c>
      <c r="AJ37" s="43">
        <f t="shared" si="6"/>
        <v>0.53333333333333333</v>
      </c>
      <c r="AK37" s="43">
        <f t="shared" si="2"/>
        <v>1</v>
      </c>
      <c r="AL37" s="43">
        <f t="shared" si="3"/>
        <v>0.53333333333333333</v>
      </c>
      <c r="AM37" s="32" t="s">
        <v>46</v>
      </c>
    </row>
    <row r="38" spans="1:39" s="33" customFormat="1" ht="12.75" customHeight="1" thickBot="1" x14ac:dyDescent="0.25">
      <c r="A38" s="44"/>
      <c r="B38" s="45"/>
      <c r="C38" s="46" t="s">
        <v>42</v>
      </c>
      <c r="D38" s="47" t="s">
        <v>47</v>
      </c>
      <c r="E38" s="48">
        <v>3000</v>
      </c>
      <c r="F38" s="24">
        <v>1710</v>
      </c>
      <c r="G38" s="25"/>
      <c r="H38" s="26">
        <v>660</v>
      </c>
      <c r="I38" s="49">
        <f t="shared" si="0"/>
        <v>30</v>
      </c>
      <c r="J38" s="50">
        <f t="shared" si="4"/>
        <v>660</v>
      </c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2">
        <f t="shared" si="1"/>
        <v>0</v>
      </c>
      <c r="AI38" s="53">
        <f t="shared" si="5"/>
        <v>1</v>
      </c>
      <c r="AJ38" s="53">
        <f t="shared" si="6"/>
        <v>0.56999999999999995</v>
      </c>
      <c r="AK38" s="53">
        <f t="shared" si="2"/>
        <v>1</v>
      </c>
      <c r="AL38" s="53">
        <f t="shared" si="3"/>
        <v>0.56999999999999995</v>
      </c>
      <c r="AM38" s="32" t="s">
        <v>46</v>
      </c>
    </row>
    <row r="39" spans="1:39" s="33" customFormat="1" ht="12.75" customHeight="1" thickBot="1" x14ac:dyDescent="0.25">
      <c r="A39" s="20">
        <f t="shared" ref="A39" si="25">A36+1</f>
        <v>46246</v>
      </c>
      <c r="B39" s="21">
        <f t="shared" ref="B39" si="26">A39</f>
        <v>46246</v>
      </c>
      <c r="C39" s="22" t="s">
        <v>42</v>
      </c>
      <c r="D39" s="23" t="s">
        <v>43</v>
      </c>
      <c r="E39" s="24">
        <v>2000</v>
      </c>
      <c r="F39" s="24">
        <v>1685</v>
      </c>
      <c r="G39" s="25"/>
      <c r="H39" s="26">
        <v>660</v>
      </c>
      <c r="I39" s="27">
        <f t="shared" si="0"/>
        <v>30</v>
      </c>
      <c r="J39" s="28">
        <f t="shared" si="4"/>
        <v>660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30">
        <f t="shared" si="1"/>
        <v>0</v>
      </c>
      <c r="AI39" s="31">
        <f t="shared" si="5"/>
        <v>1</v>
      </c>
      <c r="AJ39" s="31">
        <f t="shared" si="6"/>
        <v>0.84250000000000003</v>
      </c>
      <c r="AK39" s="31">
        <f t="shared" si="2"/>
        <v>1</v>
      </c>
      <c r="AL39" s="31">
        <f t="shared" si="3"/>
        <v>0.84250000000000003</v>
      </c>
      <c r="AM39" s="32" t="s">
        <v>44</v>
      </c>
    </row>
    <row r="40" spans="1:39" s="33" customFormat="1" ht="12.75" customHeight="1" thickBot="1" x14ac:dyDescent="0.25">
      <c r="A40" s="34"/>
      <c r="B40" s="35"/>
      <c r="C40" s="36" t="s">
        <v>42</v>
      </c>
      <c r="D40" s="37" t="s">
        <v>45</v>
      </c>
      <c r="E40" s="38">
        <v>3000</v>
      </c>
      <c r="F40" s="24">
        <v>2620</v>
      </c>
      <c r="G40" s="25"/>
      <c r="H40" s="26">
        <v>660</v>
      </c>
      <c r="I40" s="39">
        <f t="shared" si="0"/>
        <v>30</v>
      </c>
      <c r="J40" s="40">
        <f t="shared" si="4"/>
        <v>660</v>
      </c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2">
        <f t="shared" si="1"/>
        <v>0</v>
      </c>
      <c r="AI40" s="43">
        <f t="shared" si="5"/>
        <v>1</v>
      </c>
      <c r="AJ40" s="43">
        <f t="shared" si="6"/>
        <v>0.87333333333333329</v>
      </c>
      <c r="AK40" s="43">
        <f t="shared" si="2"/>
        <v>1</v>
      </c>
      <c r="AL40" s="43">
        <f t="shared" si="3"/>
        <v>0.87333333333333329</v>
      </c>
      <c r="AM40" s="32" t="s">
        <v>46</v>
      </c>
    </row>
    <row r="41" spans="1:39" s="33" customFormat="1" ht="12.75" customHeight="1" thickBot="1" x14ac:dyDescent="0.25">
      <c r="A41" s="44"/>
      <c r="B41" s="45"/>
      <c r="C41" s="46" t="s">
        <v>42</v>
      </c>
      <c r="D41" s="47" t="s">
        <v>47</v>
      </c>
      <c r="E41" s="48">
        <v>3000</v>
      </c>
      <c r="F41" s="24">
        <v>0</v>
      </c>
      <c r="G41" s="25"/>
      <c r="H41" s="26">
        <v>660</v>
      </c>
      <c r="I41" s="49">
        <f t="shared" si="0"/>
        <v>30</v>
      </c>
      <c r="J41" s="50">
        <f t="shared" si="4"/>
        <v>660</v>
      </c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2">
        <f t="shared" si="1"/>
        <v>0</v>
      </c>
      <c r="AI41" s="53">
        <f t="shared" si="5"/>
        <v>1</v>
      </c>
      <c r="AJ41" s="53">
        <f t="shared" si="6"/>
        <v>0</v>
      </c>
      <c r="AK41" s="53" t="str">
        <f t="shared" si="2"/>
        <v>0</v>
      </c>
      <c r="AL41" s="53">
        <f t="shared" si="3"/>
        <v>0</v>
      </c>
      <c r="AM41" s="32" t="s">
        <v>46</v>
      </c>
    </row>
    <row r="42" spans="1:39" s="33" customFormat="1" ht="12.75" customHeight="1" thickBot="1" x14ac:dyDescent="0.25">
      <c r="A42" s="20">
        <f t="shared" ref="A42" si="27">A39+1</f>
        <v>46247</v>
      </c>
      <c r="B42" s="21">
        <f t="shared" ref="B42" si="28">A42</f>
        <v>46247</v>
      </c>
      <c r="C42" s="22" t="s">
        <v>42</v>
      </c>
      <c r="D42" s="23" t="s">
        <v>43</v>
      </c>
      <c r="E42" s="24">
        <v>2000</v>
      </c>
      <c r="F42" s="24">
        <v>1000</v>
      </c>
      <c r="G42" s="25"/>
      <c r="H42" s="26">
        <v>660</v>
      </c>
      <c r="I42" s="27">
        <f t="shared" si="0"/>
        <v>30</v>
      </c>
      <c r="J42" s="28">
        <f t="shared" si="4"/>
        <v>660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30">
        <f t="shared" si="1"/>
        <v>0</v>
      </c>
      <c r="AI42" s="31">
        <f t="shared" si="5"/>
        <v>1</v>
      </c>
      <c r="AJ42" s="31">
        <f t="shared" si="6"/>
        <v>0.5</v>
      </c>
      <c r="AK42" s="31">
        <f t="shared" si="2"/>
        <v>1</v>
      </c>
      <c r="AL42" s="31">
        <f t="shared" si="3"/>
        <v>0.5</v>
      </c>
      <c r="AM42" s="32" t="s">
        <v>44</v>
      </c>
    </row>
    <row r="43" spans="1:39" s="33" customFormat="1" ht="12.75" customHeight="1" thickBot="1" x14ac:dyDescent="0.25">
      <c r="A43" s="34"/>
      <c r="B43" s="35"/>
      <c r="C43" s="36" t="s">
        <v>42</v>
      </c>
      <c r="D43" s="37" t="s">
        <v>45</v>
      </c>
      <c r="E43" s="38">
        <v>3000</v>
      </c>
      <c r="F43" s="24">
        <v>2790</v>
      </c>
      <c r="G43" s="25"/>
      <c r="H43" s="26">
        <v>660</v>
      </c>
      <c r="I43" s="39">
        <f t="shared" si="0"/>
        <v>30</v>
      </c>
      <c r="J43" s="40">
        <f t="shared" si="4"/>
        <v>660</v>
      </c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2">
        <f t="shared" si="1"/>
        <v>0</v>
      </c>
      <c r="AI43" s="43">
        <f t="shared" si="5"/>
        <v>1</v>
      </c>
      <c r="AJ43" s="43">
        <f t="shared" si="6"/>
        <v>0.93</v>
      </c>
      <c r="AK43" s="43">
        <f t="shared" si="2"/>
        <v>1</v>
      </c>
      <c r="AL43" s="43">
        <f t="shared" si="3"/>
        <v>0.93</v>
      </c>
      <c r="AM43" s="32" t="s">
        <v>46</v>
      </c>
    </row>
    <row r="44" spans="1:39" s="33" customFormat="1" ht="12.75" customHeight="1" thickBot="1" x14ac:dyDescent="0.25">
      <c r="A44" s="44"/>
      <c r="B44" s="45"/>
      <c r="C44" s="46" t="s">
        <v>42</v>
      </c>
      <c r="D44" s="47" t="s">
        <v>47</v>
      </c>
      <c r="E44" s="48">
        <v>3000</v>
      </c>
      <c r="F44" s="24">
        <v>1400</v>
      </c>
      <c r="G44" s="25"/>
      <c r="H44" s="26">
        <v>660</v>
      </c>
      <c r="I44" s="49">
        <f t="shared" si="0"/>
        <v>30</v>
      </c>
      <c r="J44" s="50">
        <f t="shared" si="4"/>
        <v>660</v>
      </c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2">
        <f t="shared" si="1"/>
        <v>0</v>
      </c>
      <c r="AI44" s="53">
        <f t="shared" si="5"/>
        <v>1</v>
      </c>
      <c r="AJ44" s="53">
        <f t="shared" si="6"/>
        <v>0.46666666666666667</v>
      </c>
      <c r="AK44" s="53">
        <f t="shared" si="2"/>
        <v>1</v>
      </c>
      <c r="AL44" s="53">
        <f t="shared" si="3"/>
        <v>0.46666666666666667</v>
      </c>
      <c r="AM44" s="32" t="s">
        <v>46</v>
      </c>
    </row>
    <row r="45" spans="1:39" s="33" customFormat="1" ht="12.75" customHeight="1" thickBot="1" x14ac:dyDescent="0.25">
      <c r="A45" s="20">
        <f t="shared" ref="A45" si="29">A42+1</f>
        <v>46248</v>
      </c>
      <c r="B45" s="21">
        <f t="shared" ref="B45" si="30">A45</f>
        <v>46248</v>
      </c>
      <c r="C45" s="22" t="s">
        <v>42</v>
      </c>
      <c r="D45" s="23" t="s">
        <v>43</v>
      </c>
      <c r="E45" s="24">
        <v>1600</v>
      </c>
      <c r="F45" s="24">
        <v>1580</v>
      </c>
      <c r="G45" s="25"/>
      <c r="H45" s="26">
        <v>480</v>
      </c>
      <c r="I45" s="27">
        <f t="shared" si="0"/>
        <v>30</v>
      </c>
      <c r="J45" s="28">
        <f t="shared" si="4"/>
        <v>480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30">
        <f t="shared" si="1"/>
        <v>0</v>
      </c>
      <c r="AI45" s="31">
        <f t="shared" si="5"/>
        <v>1</v>
      </c>
      <c r="AJ45" s="31">
        <f t="shared" si="6"/>
        <v>0.98750000000000004</v>
      </c>
      <c r="AK45" s="31">
        <f t="shared" si="2"/>
        <v>1</v>
      </c>
      <c r="AL45" s="31">
        <f t="shared" si="3"/>
        <v>0.98750000000000004</v>
      </c>
      <c r="AM45" s="32"/>
    </row>
    <row r="46" spans="1:39" s="33" customFormat="1" ht="12.75" customHeight="1" thickBot="1" x14ac:dyDescent="0.25">
      <c r="A46" s="34"/>
      <c r="B46" s="35"/>
      <c r="C46" s="36" t="s">
        <v>42</v>
      </c>
      <c r="D46" s="37" t="s">
        <v>45</v>
      </c>
      <c r="E46" s="38">
        <v>2000</v>
      </c>
      <c r="F46" s="24">
        <v>1800</v>
      </c>
      <c r="G46" s="25"/>
      <c r="H46" s="26">
        <v>480</v>
      </c>
      <c r="I46" s="39">
        <f t="shared" si="0"/>
        <v>30</v>
      </c>
      <c r="J46" s="40">
        <f t="shared" si="4"/>
        <v>480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2">
        <f t="shared" si="1"/>
        <v>0</v>
      </c>
      <c r="AI46" s="43">
        <f t="shared" si="5"/>
        <v>1</v>
      </c>
      <c r="AJ46" s="43">
        <f t="shared" si="6"/>
        <v>0.9</v>
      </c>
      <c r="AK46" s="43">
        <f t="shared" si="2"/>
        <v>1</v>
      </c>
      <c r="AL46" s="43">
        <f t="shared" si="3"/>
        <v>0.9</v>
      </c>
      <c r="AM46" s="32"/>
    </row>
    <row r="47" spans="1:39" s="33" customFormat="1" ht="12.75" customHeight="1" thickBot="1" x14ac:dyDescent="0.25">
      <c r="A47" s="44"/>
      <c r="B47" s="45"/>
      <c r="C47" s="46" t="s">
        <v>42</v>
      </c>
      <c r="D47" s="47" t="s">
        <v>47</v>
      </c>
      <c r="E47" s="48">
        <v>2000</v>
      </c>
      <c r="F47" s="24">
        <v>940</v>
      </c>
      <c r="G47" s="25"/>
      <c r="H47" s="26">
        <v>480</v>
      </c>
      <c r="I47" s="49">
        <f t="shared" si="0"/>
        <v>30</v>
      </c>
      <c r="J47" s="50">
        <f t="shared" si="4"/>
        <v>480</v>
      </c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2">
        <f t="shared" si="1"/>
        <v>0</v>
      </c>
      <c r="AI47" s="53">
        <f t="shared" si="5"/>
        <v>1</v>
      </c>
      <c r="AJ47" s="53">
        <f t="shared" si="6"/>
        <v>0.47</v>
      </c>
      <c r="AK47" s="53">
        <f t="shared" si="2"/>
        <v>1</v>
      </c>
      <c r="AL47" s="53">
        <f t="shared" si="3"/>
        <v>0.47</v>
      </c>
      <c r="AM47" s="32"/>
    </row>
    <row r="48" spans="1:39" s="33" customFormat="1" ht="12.75" customHeight="1" thickBot="1" x14ac:dyDescent="0.25">
      <c r="A48" s="20">
        <f t="shared" ref="A48" si="31">A45+1</f>
        <v>46249</v>
      </c>
      <c r="B48" s="21">
        <f t="shared" ref="B48" si="32">A48</f>
        <v>46249</v>
      </c>
      <c r="C48" s="22" t="s">
        <v>42</v>
      </c>
      <c r="D48" s="23" t="s">
        <v>43</v>
      </c>
      <c r="E48" s="24">
        <v>2000</v>
      </c>
      <c r="F48" s="24"/>
      <c r="G48" s="25"/>
      <c r="H48" s="26">
        <v>660</v>
      </c>
      <c r="I48" s="27">
        <f t="shared" si="0"/>
        <v>30</v>
      </c>
      <c r="J48" s="28">
        <f t="shared" si="4"/>
        <v>660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30">
        <f t="shared" si="1"/>
        <v>0</v>
      </c>
      <c r="AI48" s="31">
        <f t="shared" si="5"/>
        <v>1</v>
      </c>
      <c r="AJ48" s="31">
        <f t="shared" si="6"/>
        <v>0</v>
      </c>
      <c r="AK48" s="31" t="str">
        <f t="shared" si="2"/>
        <v>0</v>
      </c>
      <c r="AL48" s="31">
        <f t="shared" si="3"/>
        <v>0</v>
      </c>
      <c r="AM48" s="32" t="s">
        <v>44</v>
      </c>
    </row>
    <row r="49" spans="1:39" s="33" customFormat="1" ht="12.75" customHeight="1" thickBot="1" x14ac:dyDescent="0.25">
      <c r="A49" s="34"/>
      <c r="B49" s="35"/>
      <c r="C49" s="36" t="s">
        <v>42</v>
      </c>
      <c r="D49" s="37" t="s">
        <v>45</v>
      </c>
      <c r="E49" s="38">
        <v>3000</v>
      </c>
      <c r="F49" s="24"/>
      <c r="G49" s="25"/>
      <c r="H49" s="26">
        <v>660</v>
      </c>
      <c r="I49" s="39">
        <f t="shared" si="0"/>
        <v>30</v>
      </c>
      <c r="J49" s="40">
        <f t="shared" si="4"/>
        <v>660</v>
      </c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2">
        <f t="shared" si="1"/>
        <v>0</v>
      </c>
      <c r="AI49" s="43">
        <f t="shared" si="5"/>
        <v>1</v>
      </c>
      <c r="AJ49" s="43">
        <f t="shared" si="6"/>
        <v>0</v>
      </c>
      <c r="AK49" s="43" t="str">
        <f t="shared" si="2"/>
        <v>0</v>
      </c>
      <c r="AL49" s="43">
        <f t="shared" si="3"/>
        <v>0</v>
      </c>
      <c r="AM49" s="32" t="s">
        <v>46</v>
      </c>
    </row>
    <row r="50" spans="1:39" s="33" customFormat="1" ht="12.75" customHeight="1" thickBot="1" x14ac:dyDescent="0.25">
      <c r="A50" s="44"/>
      <c r="B50" s="45"/>
      <c r="C50" s="46" t="s">
        <v>42</v>
      </c>
      <c r="D50" s="47" t="s">
        <v>47</v>
      </c>
      <c r="E50" s="48">
        <v>3000</v>
      </c>
      <c r="F50" s="24"/>
      <c r="G50" s="25"/>
      <c r="H50" s="26">
        <v>660</v>
      </c>
      <c r="I50" s="49">
        <f t="shared" si="0"/>
        <v>30</v>
      </c>
      <c r="J50" s="50">
        <f t="shared" si="4"/>
        <v>660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2">
        <f t="shared" si="1"/>
        <v>0</v>
      </c>
      <c r="AI50" s="53">
        <f t="shared" si="5"/>
        <v>1</v>
      </c>
      <c r="AJ50" s="53">
        <f t="shared" si="6"/>
        <v>0</v>
      </c>
      <c r="AK50" s="53" t="str">
        <f t="shared" si="2"/>
        <v>0</v>
      </c>
      <c r="AL50" s="53">
        <f t="shared" si="3"/>
        <v>0</v>
      </c>
      <c r="AM50" s="32" t="s">
        <v>46</v>
      </c>
    </row>
    <row r="51" spans="1:39" s="33" customFormat="1" ht="12.75" customHeight="1" thickBot="1" x14ac:dyDescent="0.25">
      <c r="A51" s="20">
        <f t="shared" ref="A51" si="33">A48+1</f>
        <v>46250</v>
      </c>
      <c r="B51" s="21">
        <f t="shared" ref="B51" si="34">A51</f>
        <v>46250</v>
      </c>
      <c r="C51" s="22" t="s">
        <v>42</v>
      </c>
      <c r="D51" s="23" t="s">
        <v>43</v>
      </c>
      <c r="E51" s="24">
        <v>2000</v>
      </c>
      <c r="F51" s="24"/>
      <c r="G51" s="25"/>
      <c r="H51" s="26">
        <v>660</v>
      </c>
      <c r="I51" s="27">
        <f t="shared" si="0"/>
        <v>30</v>
      </c>
      <c r="J51" s="28">
        <f t="shared" si="4"/>
        <v>660</v>
      </c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30">
        <f t="shared" si="1"/>
        <v>0</v>
      </c>
      <c r="AI51" s="31">
        <f t="shared" si="5"/>
        <v>1</v>
      </c>
      <c r="AJ51" s="31">
        <f t="shared" si="6"/>
        <v>0</v>
      </c>
      <c r="AK51" s="31" t="str">
        <f t="shared" si="2"/>
        <v>0</v>
      </c>
      <c r="AL51" s="31">
        <f t="shared" si="3"/>
        <v>0</v>
      </c>
      <c r="AM51" s="32" t="s">
        <v>44</v>
      </c>
    </row>
    <row r="52" spans="1:39" s="33" customFormat="1" ht="12.75" customHeight="1" thickBot="1" x14ac:dyDescent="0.25">
      <c r="A52" s="34"/>
      <c r="B52" s="35"/>
      <c r="C52" s="36" t="s">
        <v>42</v>
      </c>
      <c r="D52" s="37" t="s">
        <v>45</v>
      </c>
      <c r="E52" s="38">
        <v>3000</v>
      </c>
      <c r="F52" s="24"/>
      <c r="G52" s="25"/>
      <c r="H52" s="26">
        <v>660</v>
      </c>
      <c r="I52" s="39">
        <f t="shared" si="0"/>
        <v>30</v>
      </c>
      <c r="J52" s="40">
        <f t="shared" si="4"/>
        <v>660</v>
      </c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2">
        <f t="shared" si="1"/>
        <v>0</v>
      </c>
      <c r="AI52" s="43">
        <f t="shared" si="5"/>
        <v>1</v>
      </c>
      <c r="AJ52" s="43">
        <f t="shared" si="6"/>
        <v>0</v>
      </c>
      <c r="AK52" s="43" t="str">
        <f t="shared" si="2"/>
        <v>0</v>
      </c>
      <c r="AL52" s="43">
        <f t="shared" si="3"/>
        <v>0</v>
      </c>
      <c r="AM52" s="32" t="s">
        <v>46</v>
      </c>
    </row>
    <row r="53" spans="1:39" s="33" customFormat="1" ht="12.75" customHeight="1" thickBot="1" x14ac:dyDescent="0.25">
      <c r="A53" s="44"/>
      <c r="B53" s="45"/>
      <c r="C53" s="46" t="s">
        <v>42</v>
      </c>
      <c r="D53" s="47" t="s">
        <v>47</v>
      </c>
      <c r="E53" s="48">
        <v>3000</v>
      </c>
      <c r="F53" s="24"/>
      <c r="G53" s="25"/>
      <c r="H53" s="26">
        <v>660</v>
      </c>
      <c r="I53" s="49">
        <f t="shared" si="0"/>
        <v>30</v>
      </c>
      <c r="J53" s="50">
        <f t="shared" si="4"/>
        <v>660</v>
      </c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2">
        <f t="shared" si="1"/>
        <v>0</v>
      </c>
      <c r="AI53" s="53">
        <f t="shared" si="5"/>
        <v>1</v>
      </c>
      <c r="AJ53" s="53">
        <f t="shared" si="6"/>
        <v>0</v>
      </c>
      <c r="AK53" s="53" t="str">
        <f t="shared" si="2"/>
        <v>0</v>
      </c>
      <c r="AL53" s="53">
        <f t="shared" si="3"/>
        <v>0</v>
      </c>
      <c r="AM53" s="32" t="s">
        <v>46</v>
      </c>
    </row>
    <row r="54" spans="1:39" s="33" customFormat="1" ht="12.75" customHeight="1" thickBot="1" x14ac:dyDescent="0.25">
      <c r="A54" s="20">
        <f t="shared" ref="A54" si="35">A51+1</f>
        <v>46251</v>
      </c>
      <c r="B54" s="21">
        <f t="shared" ref="B54" si="36">A54</f>
        <v>46251</v>
      </c>
      <c r="C54" s="22" t="s">
        <v>42</v>
      </c>
      <c r="D54" s="23" t="s">
        <v>43</v>
      </c>
      <c r="E54" s="24">
        <v>2000</v>
      </c>
      <c r="F54" s="24"/>
      <c r="G54" s="25"/>
      <c r="H54" s="26">
        <v>660</v>
      </c>
      <c r="I54" s="27">
        <f t="shared" si="0"/>
        <v>30</v>
      </c>
      <c r="J54" s="28">
        <f t="shared" si="4"/>
        <v>660</v>
      </c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30">
        <f t="shared" si="1"/>
        <v>0</v>
      </c>
      <c r="AI54" s="31">
        <f t="shared" si="5"/>
        <v>1</v>
      </c>
      <c r="AJ54" s="31">
        <f t="shared" si="6"/>
        <v>0</v>
      </c>
      <c r="AK54" s="31" t="str">
        <f t="shared" si="2"/>
        <v>0</v>
      </c>
      <c r="AL54" s="31">
        <f t="shared" si="3"/>
        <v>0</v>
      </c>
      <c r="AM54" s="32"/>
    </row>
    <row r="55" spans="1:39" s="33" customFormat="1" ht="12.75" customHeight="1" thickBot="1" x14ac:dyDescent="0.25">
      <c r="A55" s="34"/>
      <c r="B55" s="35"/>
      <c r="C55" s="36" t="s">
        <v>42</v>
      </c>
      <c r="D55" s="37" t="s">
        <v>45</v>
      </c>
      <c r="E55" s="38">
        <v>3000</v>
      </c>
      <c r="F55" s="24"/>
      <c r="G55" s="25"/>
      <c r="H55" s="26">
        <v>660</v>
      </c>
      <c r="I55" s="39">
        <f t="shared" si="0"/>
        <v>30</v>
      </c>
      <c r="J55" s="40">
        <f t="shared" si="4"/>
        <v>660</v>
      </c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2">
        <f t="shared" si="1"/>
        <v>0</v>
      </c>
      <c r="AI55" s="43">
        <f t="shared" si="5"/>
        <v>1</v>
      </c>
      <c r="AJ55" s="43">
        <f t="shared" si="6"/>
        <v>0</v>
      </c>
      <c r="AK55" s="43" t="str">
        <f t="shared" si="2"/>
        <v>0</v>
      </c>
      <c r="AL55" s="43">
        <f t="shared" si="3"/>
        <v>0</v>
      </c>
      <c r="AM55" s="32"/>
    </row>
    <row r="56" spans="1:39" s="33" customFormat="1" ht="12.75" customHeight="1" thickBot="1" x14ac:dyDescent="0.25">
      <c r="A56" s="44"/>
      <c r="B56" s="45"/>
      <c r="C56" s="46" t="s">
        <v>42</v>
      </c>
      <c r="D56" s="47" t="s">
        <v>47</v>
      </c>
      <c r="E56" s="48">
        <v>3000</v>
      </c>
      <c r="F56" s="24"/>
      <c r="G56" s="25"/>
      <c r="H56" s="26">
        <v>660</v>
      </c>
      <c r="I56" s="49">
        <f t="shared" si="0"/>
        <v>30</v>
      </c>
      <c r="J56" s="50">
        <f t="shared" si="4"/>
        <v>660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2">
        <f t="shared" si="1"/>
        <v>0</v>
      </c>
      <c r="AI56" s="53">
        <f t="shared" si="5"/>
        <v>1</v>
      </c>
      <c r="AJ56" s="53">
        <f t="shared" si="6"/>
        <v>0</v>
      </c>
      <c r="AK56" s="53" t="str">
        <f t="shared" si="2"/>
        <v>0</v>
      </c>
      <c r="AL56" s="53">
        <f t="shared" si="3"/>
        <v>0</v>
      </c>
      <c r="AM56" s="32"/>
    </row>
    <row r="57" spans="1:39" s="33" customFormat="1" ht="12.75" customHeight="1" thickBot="1" x14ac:dyDescent="0.25">
      <c r="A57" s="20">
        <f t="shared" ref="A57" si="37">A54+1</f>
        <v>46252</v>
      </c>
      <c r="B57" s="21">
        <f t="shared" ref="B57" si="38">A57</f>
        <v>46252</v>
      </c>
      <c r="C57" s="22" t="s">
        <v>42</v>
      </c>
      <c r="D57" s="23" t="s">
        <v>43</v>
      </c>
      <c r="E57" s="24">
        <v>2000</v>
      </c>
      <c r="F57" s="24"/>
      <c r="G57" s="25"/>
      <c r="H57" s="26">
        <v>660</v>
      </c>
      <c r="I57" s="27">
        <f t="shared" si="0"/>
        <v>30</v>
      </c>
      <c r="J57" s="28">
        <f t="shared" si="4"/>
        <v>660</v>
      </c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30">
        <f t="shared" si="1"/>
        <v>0</v>
      </c>
      <c r="AI57" s="31">
        <f t="shared" si="5"/>
        <v>1</v>
      </c>
      <c r="AJ57" s="31">
        <f t="shared" si="6"/>
        <v>0</v>
      </c>
      <c r="AK57" s="31" t="str">
        <f t="shared" si="2"/>
        <v>0</v>
      </c>
      <c r="AL57" s="31">
        <f t="shared" si="3"/>
        <v>0</v>
      </c>
      <c r="AM57" s="32" t="s">
        <v>44</v>
      </c>
    </row>
    <row r="58" spans="1:39" s="33" customFormat="1" ht="12.75" customHeight="1" thickBot="1" x14ac:dyDescent="0.25">
      <c r="A58" s="34"/>
      <c r="B58" s="35"/>
      <c r="C58" s="36" t="s">
        <v>42</v>
      </c>
      <c r="D58" s="37" t="s">
        <v>45</v>
      </c>
      <c r="E58" s="38">
        <v>3000</v>
      </c>
      <c r="F58" s="24"/>
      <c r="G58" s="25"/>
      <c r="H58" s="26">
        <v>660</v>
      </c>
      <c r="I58" s="39">
        <f t="shared" si="0"/>
        <v>30</v>
      </c>
      <c r="J58" s="40">
        <f t="shared" si="4"/>
        <v>660</v>
      </c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2">
        <f t="shared" si="1"/>
        <v>0</v>
      </c>
      <c r="AI58" s="43">
        <f t="shared" si="5"/>
        <v>1</v>
      </c>
      <c r="AJ58" s="43">
        <f t="shared" si="6"/>
        <v>0</v>
      </c>
      <c r="AK58" s="43" t="str">
        <f t="shared" si="2"/>
        <v>0</v>
      </c>
      <c r="AL58" s="43">
        <f t="shared" si="3"/>
        <v>0</v>
      </c>
      <c r="AM58" s="32" t="s">
        <v>46</v>
      </c>
    </row>
    <row r="59" spans="1:39" s="33" customFormat="1" ht="12.75" customHeight="1" thickBot="1" x14ac:dyDescent="0.25">
      <c r="A59" s="44"/>
      <c r="B59" s="45"/>
      <c r="C59" s="46" t="s">
        <v>42</v>
      </c>
      <c r="D59" s="47" t="s">
        <v>47</v>
      </c>
      <c r="E59" s="48">
        <v>3000</v>
      </c>
      <c r="F59" s="24"/>
      <c r="G59" s="25"/>
      <c r="H59" s="26">
        <v>660</v>
      </c>
      <c r="I59" s="49">
        <f t="shared" si="0"/>
        <v>30</v>
      </c>
      <c r="J59" s="50">
        <f t="shared" si="4"/>
        <v>660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2">
        <f t="shared" si="1"/>
        <v>0</v>
      </c>
      <c r="AI59" s="53">
        <f t="shared" si="5"/>
        <v>1</v>
      </c>
      <c r="AJ59" s="53">
        <f t="shared" si="6"/>
        <v>0</v>
      </c>
      <c r="AK59" s="53" t="str">
        <f t="shared" si="2"/>
        <v>0</v>
      </c>
      <c r="AL59" s="53">
        <f t="shared" si="3"/>
        <v>0</v>
      </c>
      <c r="AM59" s="32" t="s">
        <v>46</v>
      </c>
    </row>
    <row r="60" spans="1:39" s="33" customFormat="1" ht="12.75" customHeight="1" thickBot="1" x14ac:dyDescent="0.25">
      <c r="A60" s="20">
        <f t="shared" ref="A60" si="39">A57+1</f>
        <v>46253</v>
      </c>
      <c r="B60" s="21">
        <f t="shared" ref="B60" si="40">A60</f>
        <v>46253</v>
      </c>
      <c r="C60" s="22" t="s">
        <v>42</v>
      </c>
      <c r="D60" s="23" t="s">
        <v>43</v>
      </c>
      <c r="E60" s="24">
        <v>2000</v>
      </c>
      <c r="F60" s="24"/>
      <c r="G60" s="25"/>
      <c r="H60" s="26">
        <v>660</v>
      </c>
      <c r="I60" s="27">
        <f t="shared" si="0"/>
        <v>30</v>
      </c>
      <c r="J60" s="28">
        <f t="shared" si="4"/>
        <v>660</v>
      </c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30">
        <f t="shared" si="1"/>
        <v>0</v>
      </c>
      <c r="AI60" s="31">
        <f t="shared" si="5"/>
        <v>1</v>
      </c>
      <c r="AJ60" s="31">
        <f t="shared" si="6"/>
        <v>0</v>
      </c>
      <c r="AK60" s="31" t="str">
        <f t="shared" si="2"/>
        <v>0</v>
      </c>
      <c r="AL60" s="31">
        <f t="shared" si="3"/>
        <v>0</v>
      </c>
      <c r="AM60" s="32" t="s">
        <v>44</v>
      </c>
    </row>
    <row r="61" spans="1:39" s="33" customFormat="1" ht="12.75" customHeight="1" thickBot="1" x14ac:dyDescent="0.25">
      <c r="A61" s="34"/>
      <c r="B61" s="35"/>
      <c r="C61" s="36" t="s">
        <v>42</v>
      </c>
      <c r="D61" s="37" t="s">
        <v>45</v>
      </c>
      <c r="E61" s="38">
        <v>3000</v>
      </c>
      <c r="F61" s="24"/>
      <c r="G61" s="25"/>
      <c r="H61" s="26">
        <v>660</v>
      </c>
      <c r="I61" s="39">
        <f t="shared" si="0"/>
        <v>30</v>
      </c>
      <c r="J61" s="40">
        <f t="shared" si="4"/>
        <v>660</v>
      </c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2">
        <f t="shared" si="1"/>
        <v>0</v>
      </c>
      <c r="AI61" s="43">
        <f t="shared" si="5"/>
        <v>1</v>
      </c>
      <c r="AJ61" s="43">
        <f t="shared" si="6"/>
        <v>0</v>
      </c>
      <c r="AK61" s="43" t="str">
        <f t="shared" si="2"/>
        <v>0</v>
      </c>
      <c r="AL61" s="43">
        <f t="shared" si="3"/>
        <v>0</v>
      </c>
      <c r="AM61" s="32" t="s">
        <v>46</v>
      </c>
    </row>
    <row r="62" spans="1:39" s="33" customFormat="1" ht="12.75" customHeight="1" thickBot="1" x14ac:dyDescent="0.25">
      <c r="A62" s="44"/>
      <c r="B62" s="45"/>
      <c r="C62" s="46" t="s">
        <v>42</v>
      </c>
      <c r="D62" s="47" t="s">
        <v>47</v>
      </c>
      <c r="E62" s="48">
        <v>3000</v>
      </c>
      <c r="F62" s="24"/>
      <c r="G62" s="25"/>
      <c r="H62" s="26">
        <v>660</v>
      </c>
      <c r="I62" s="49">
        <f t="shared" si="0"/>
        <v>30</v>
      </c>
      <c r="J62" s="50">
        <f t="shared" si="4"/>
        <v>660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2">
        <f t="shared" si="1"/>
        <v>0</v>
      </c>
      <c r="AI62" s="53">
        <f t="shared" si="5"/>
        <v>1</v>
      </c>
      <c r="AJ62" s="53">
        <f t="shared" si="6"/>
        <v>0</v>
      </c>
      <c r="AK62" s="53" t="str">
        <f t="shared" si="2"/>
        <v>0</v>
      </c>
      <c r="AL62" s="53">
        <f t="shared" si="3"/>
        <v>0</v>
      </c>
      <c r="AM62" s="32" t="s">
        <v>46</v>
      </c>
    </row>
    <row r="63" spans="1:39" s="33" customFormat="1" ht="12.75" customHeight="1" thickBot="1" x14ac:dyDescent="0.25">
      <c r="A63" s="20">
        <f t="shared" ref="A63" si="41">A60+1</f>
        <v>46254</v>
      </c>
      <c r="B63" s="21">
        <f t="shared" ref="B63" si="42">A63</f>
        <v>46254</v>
      </c>
      <c r="C63" s="22" t="s">
        <v>42</v>
      </c>
      <c r="D63" s="23" t="s">
        <v>43</v>
      </c>
      <c r="E63" s="24">
        <v>2000</v>
      </c>
      <c r="F63" s="24"/>
      <c r="G63" s="25"/>
      <c r="H63" s="26">
        <v>660</v>
      </c>
      <c r="I63" s="27">
        <f t="shared" si="0"/>
        <v>30</v>
      </c>
      <c r="J63" s="28">
        <f t="shared" si="4"/>
        <v>660</v>
      </c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30">
        <f t="shared" si="1"/>
        <v>0</v>
      </c>
      <c r="AI63" s="31">
        <f t="shared" si="5"/>
        <v>1</v>
      </c>
      <c r="AJ63" s="31">
        <f t="shared" si="6"/>
        <v>0</v>
      </c>
      <c r="AK63" s="31" t="str">
        <f t="shared" si="2"/>
        <v>0</v>
      </c>
      <c r="AL63" s="31">
        <f t="shared" si="3"/>
        <v>0</v>
      </c>
      <c r="AM63" s="32" t="s">
        <v>44</v>
      </c>
    </row>
    <row r="64" spans="1:39" s="33" customFormat="1" ht="12.75" customHeight="1" thickBot="1" x14ac:dyDescent="0.25">
      <c r="A64" s="34"/>
      <c r="B64" s="35"/>
      <c r="C64" s="36" t="s">
        <v>42</v>
      </c>
      <c r="D64" s="37" t="s">
        <v>45</v>
      </c>
      <c r="E64" s="38">
        <v>3000</v>
      </c>
      <c r="F64" s="24"/>
      <c r="G64" s="25"/>
      <c r="H64" s="26">
        <v>660</v>
      </c>
      <c r="I64" s="39">
        <f t="shared" si="0"/>
        <v>30</v>
      </c>
      <c r="J64" s="40">
        <f t="shared" si="4"/>
        <v>660</v>
      </c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2">
        <f t="shared" si="1"/>
        <v>0</v>
      </c>
      <c r="AI64" s="43">
        <f t="shared" si="5"/>
        <v>1</v>
      </c>
      <c r="AJ64" s="43">
        <f t="shared" si="6"/>
        <v>0</v>
      </c>
      <c r="AK64" s="43" t="str">
        <f t="shared" si="2"/>
        <v>0</v>
      </c>
      <c r="AL64" s="43">
        <f t="shared" si="3"/>
        <v>0</v>
      </c>
      <c r="AM64" s="32" t="s">
        <v>46</v>
      </c>
    </row>
    <row r="65" spans="1:39" s="33" customFormat="1" ht="12.75" customHeight="1" thickBot="1" x14ac:dyDescent="0.25">
      <c r="A65" s="44"/>
      <c r="B65" s="45"/>
      <c r="C65" s="46" t="s">
        <v>42</v>
      </c>
      <c r="D65" s="47" t="s">
        <v>47</v>
      </c>
      <c r="E65" s="48">
        <v>3000</v>
      </c>
      <c r="F65" s="24"/>
      <c r="G65" s="25"/>
      <c r="H65" s="26">
        <v>660</v>
      </c>
      <c r="I65" s="49">
        <f t="shared" si="0"/>
        <v>30</v>
      </c>
      <c r="J65" s="50">
        <f t="shared" si="4"/>
        <v>660</v>
      </c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2">
        <f t="shared" si="1"/>
        <v>0</v>
      </c>
      <c r="AI65" s="53">
        <f t="shared" si="5"/>
        <v>1</v>
      </c>
      <c r="AJ65" s="53">
        <f t="shared" si="6"/>
        <v>0</v>
      </c>
      <c r="AK65" s="53" t="str">
        <f t="shared" si="2"/>
        <v>0</v>
      </c>
      <c r="AL65" s="53">
        <f t="shared" si="3"/>
        <v>0</v>
      </c>
      <c r="AM65" s="32" t="s">
        <v>46</v>
      </c>
    </row>
    <row r="66" spans="1:39" s="33" customFormat="1" ht="12.75" customHeight="1" thickBot="1" x14ac:dyDescent="0.25">
      <c r="A66" s="20">
        <f t="shared" ref="A66" si="43">A63+1</f>
        <v>46255</v>
      </c>
      <c r="B66" s="21">
        <f t="shared" ref="B66" si="44">A66</f>
        <v>46255</v>
      </c>
      <c r="C66" s="22" t="s">
        <v>42</v>
      </c>
      <c r="D66" s="23" t="s">
        <v>43</v>
      </c>
      <c r="E66" s="24"/>
      <c r="F66" s="24"/>
      <c r="G66" s="25"/>
      <c r="H66" s="26"/>
      <c r="I66" s="27">
        <f t="shared" si="0"/>
        <v>0</v>
      </c>
      <c r="J66" s="28">
        <f t="shared" si="4"/>
        <v>0</v>
      </c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30">
        <f t="shared" si="1"/>
        <v>0</v>
      </c>
      <c r="AI66" s="31" t="str">
        <f t="shared" si="5"/>
        <v>0</v>
      </c>
      <c r="AJ66" s="31" t="str">
        <f t="shared" si="6"/>
        <v>0</v>
      </c>
      <c r="AK66" s="31" t="str">
        <f t="shared" si="2"/>
        <v>0</v>
      </c>
      <c r="AL66" s="31">
        <f t="shared" si="3"/>
        <v>0</v>
      </c>
      <c r="AM66" s="32"/>
    </row>
    <row r="67" spans="1:39" s="33" customFormat="1" ht="12.75" customHeight="1" thickBot="1" x14ac:dyDescent="0.25">
      <c r="A67" s="34"/>
      <c r="B67" s="35"/>
      <c r="C67" s="36" t="s">
        <v>42</v>
      </c>
      <c r="D67" s="37" t="s">
        <v>45</v>
      </c>
      <c r="E67" s="38"/>
      <c r="F67" s="24"/>
      <c r="G67" s="25"/>
      <c r="H67" s="26"/>
      <c r="I67" s="39">
        <f t="shared" si="0"/>
        <v>0</v>
      </c>
      <c r="J67" s="40">
        <f t="shared" si="4"/>
        <v>0</v>
      </c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2">
        <f t="shared" si="1"/>
        <v>0</v>
      </c>
      <c r="AI67" s="43" t="str">
        <f t="shared" si="5"/>
        <v>0</v>
      </c>
      <c r="AJ67" s="43" t="str">
        <f t="shared" si="6"/>
        <v>0</v>
      </c>
      <c r="AK67" s="43" t="str">
        <f t="shared" si="2"/>
        <v>0</v>
      </c>
      <c r="AL67" s="43">
        <f t="shared" si="3"/>
        <v>0</v>
      </c>
      <c r="AM67" s="32"/>
    </row>
    <row r="68" spans="1:39" s="33" customFormat="1" ht="12.75" customHeight="1" thickBot="1" x14ac:dyDescent="0.25">
      <c r="A68" s="44"/>
      <c r="B68" s="45"/>
      <c r="C68" s="46" t="s">
        <v>42</v>
      </c>
      <c r="D68" s="47" t="s">
        <v>47</v>
      </c>
      <c r="E68" s="48"/>
      <c r="F68" s="24"/>
      <c r="G68" s="25"/>
      <c r="H68" s="26"/>
      <c r="I68" s="49">
        <f t="shared" si="0"/>
        <v>0</v>
      </c>
      <c r="J68" s="50">
        <f t="shared" si="4"/>
        <v>0</v>
      </c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2">
        <f t="shared" si="1"/>
        <v>0</v>
      </c>
      <c r="AI68" s="53" t="str">
        <f t="shared" si="5"/>
        <v>0</v>
      </c>
      <c r="AJ68" s="53" t="str">
        <f t="shared" si="6"/>
        <v>0</v>
      </c>
      <c r="AK68" s="53" t="str">
        <f t="shared" si="2"/>
        <v>0</v>
      </c>
      <c r="AL68" s="53">
        <f t="shared" si="3"/>
        <v>0</v>
      </c>
      <c r="AM68" s="32"/>
    </row>
    <row r="69" spans="1:39" s="33" customFormat="1" ht="12.75" customHeight="1" thickBot="1" x14ac:dyDescent="0.25">
      <c r="A69" s="20">
        <f t="shared" ref="A69" si="45">A66+1</f>
        <v>46256</v>
      </c>
      <c r="B69" s="21">
        <f t="shared" ref="B69" si="46">A69</f>
        <v>46256</v>
      </c>
      <c r="C69" s="22" t="s">
        <v>42</v>
      </c>
      <c r="D69" s="23" t="s">
        <v>43</v>
      </c>
      <c r="E69" s="24">
        <v>2000</v>
      </c>
      <c r="F69" s="24"/>
      <c r="G69" s="25"/>
      <c r="H69" s="26">
        <v>660</v>
      </c>
      <c r="I69" s="27">
        <f t="shared" si="0"/>
        <v>30</v>
      </c>
      <c r="J69" s="28">
        <f t="shared" si="4"/>
        <v>660</v>
      </c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30">
        <f t="shared" si="1"/>
        <v>0</v>
      </c>
      <c r="AI69" s="31">
        <f t="shared" si="5"/>
        <v>1</v>
      </c>
      <c r="AJ69" s="31">
        <f t="shared" si="6"/>
        <v>0</v>
      </c>
      <c r="AK69" s="31" t="str">
        <f t="shared" si="2"/>
        <v>0</v>
      </c>
      <c r="AL69" s="31">
        <f t="shared" si="3"/>
        <v>0</v>
      </c>
      <c r="AM69" s="32" t="s">
        <v>44</v>
      </c>
    </row>
    <row r="70" spans="1:39" s="33" customFormat="1" ht="12.75" customHeight="1" thickBot="1" x14ac:dyDescent="0.25">
      <c r="A70" s="34"/>
      <c r="B70" s="35"/>
      <c r="C70" s="36" t="s">
        <v>42</v>
      </c>
      <c r="D70" s="37" t="s">
        <v>45</v>
      </c>
      <c r="E70" s="38">
        <v>3000</v>
      </c>
      <c r="F70" s="24"/>
      <c r="G70" s="25"/>
      <c r="H70" s="26">
        <v>660</v>
      </c>
      <c r="I70" s="39">
        <f t="shared" si="0"/>
        <v>30</v>
      </c>
      <c r="J70" s="40">
        <f t="shared" si="4"/>
        <v>660</v>
      </c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2">
        <f t="shared" si="1"/>
        <v>0</v>
      </c>
      <c r="AI70" s="43">
        <f t="shared" si="5"/>
        <v>1</v>
      </c>
      <c r="AJ70" s="43">
        <f t="shared" si="6"/>
        <v>0</v>
      </c>
      <c r="AK70" s="43" t="str">
        <f t="shared" si="2"/>
        <v>0</v>
      </c>
      <c r="AL70" s="43">
        <f t="shared" si="3"/>
        <v>0</v>
      </c>
      <c r="AM70" s="32" t="s">
        <v>46</v>
      </c>
    </row>
    <row r="71" spans="1:39" s="33" customFormat="1" ht="12.75" customHeight="1" thickBot="1" x14ac:dyDescent="0.25">
      <c r="A71" s="44"/>
      <c r="B71" s="45"/>
      <c r="C71" s="46" t="s">
        <v>42</v>
      </c>
      <c r="D71" s="47" t="s">
        <v>47</v>
      </c>
      <c r="E71" s="48">
        <v>3000</v>
      </c>
      <c r="F71" s="24"/>
      <c r="G71" s="25"/>
      <c r="H71" s="26">
        <v>660</v>
      </c>
      <c r="I71" s="49">
        <f t="shared" si="0"/>
        <v>30</v>
      </c>
      <c r="J71" s="50">
        <f t="shared" si="4"/>
        <v>660</v>
      </c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2">
        <f t="shared" si="1"/>
        <v>0</v>
      </c>
      <c r="AI71" s="53">
        <f t="shared" si="5"/>
        <v>1</v>
      </c>
      <c r="AJ71" s="53">
        <f t="shared" si="6"/>
        <v>0</v>
      </c>
      <c r="AK71" s="53" t="str">
        <f t="shared" si="2"/>
        <v>0</v>
      </c>
      <c r="AL71" s="53">
        <f t="shared" si="3"/>
        <v>0</v>
      </c>
      <c r="AM71" s="32" t="s">
        <v>46</v>
      </c>
    </row>
    <row r="72" spans="1:39" s="33" customFormat="1" ht="12.75" customHeight="1" thickBot="1" x14ac:dyDescent="0.25">
      <c r="A72" s="20">
        <f t="shared" ref="A72" si="47">A69+1</f>
        <v>46257</v>
      </c>
      <c r="B72" s="21">
        <f t="shared" ref="B72" si="48">A72</f>
        <v>46257</v>
      </c>
      <c r="C72" s="22" t="s">
        <v>42</v>
      </c>
      <c r="D72" s="23" t="s">
        <v>43</v>
      </c>
      <c r="E72" s="24">
        <v>2000</v>
      </c>
      <c r="F72" s="24"/>
      <c r="G72" s="25"/>
      <c r="H72" s="26">
        <v>660</v>
      </c>
      <c r="I72" s="27">
        <f t="shared" ref="I72:I135" si="49">IF(E72&lt;&gt;"",30,0)</f>
        <v>30</v>
      </c>
      <c r="J72" s="28">
        <f t="shared" si="4"/>
        <v>660</v>
      </c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30">
        <f t="shared" si="1"/>
        <v>0</v>
      </c>
      <c r="AI72" s="31">
        <f t="shared" si="5"/>
        <v>1</v>
      </c>
      <c r="AJ72" s="31">
        <f t="shared" si="6"/>
        <v>0</v>
      </c>
      <c r="AK72" s="31" t="str">
        <f t="shared" si="2"/>
        <v>0</v>
      </c>
      <c r="AL72" s="31">
        <f t="shared" si="3"/>
        <v>0</v>
      </c>
      <c r="AM72" s="32" t="s">
        <v>44</v>
      </c>
    </row>
    <row r="73" spans="1:39" s="33" customFormat="1" ht="12.75" customHeight="1" thickBot="1" x14ac:dyDescent="0.25">
      <c r="A73" s="34"/>
      <c r="B73" s="35"/>
      <c r="C73" s="36" t="s">
        <v>42</v>
      </c>
      <c r="D73" s="37" t="s">
        <v>45</v>
      </c>
      <c r="E73" s="38">
        <v>3000</v>
      </c>
      <c r="F73" s="24"/>
      <c r="G73" s="25"/>
      <c r="H73" s="26">
        <v>660</v>
      </c>
      <c r="I73" s="39">
        <f t="shared" si="49"/>
        <v>30</v>
      </c>
      <c r="J73" s="40">
        <f t="shared" si="4"/>
        <v>660</v>
      </c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2">
        <f t="shared" ref="AH73:AH136" si="50">SUM(K73:AG73)</f>
        <v>0</v>
      </c>
      <c r="AI73" s="43">
        <f t="shared" si="5"/>
        <v>1</v>
      </c>
      <c r="AJ73" s="43">
        <f t="shared" si="6"/>
        <v>0</v>
      </c>
      <c r="AK73" s="43" t="str">
        <f t="shared" ref="AK73:AK136" si="51">IFERROR(F73/(F73+G73),"0")</f>
        <v>0</v>
      </c>
      <c r="AL73" s="43">
        <f t="shared" ref="AL73:AL136" si="52">IFERROR(AK73*AJ73*AI73,"0")</f>
        <v>0</v>
      </c>
      <c r="AM73" s="32" t="s">
        <v>46</v>
      </c>
    </row>
    <row r="74" spans="1:39" s="33" customFormat="1" ht="12.75" customHeight="1" thickBot="1" x14ac:dyDescent="0.25">
      <c r="A74" s="44"/>
      <c r="B74" s="45"/>
      <c r="C74" s="46" t="s">
        <v>42</v>
      </c>
      <c r="D74" s="47" t="s">
        <v>47</v>
      </c>
      <c r="E74" s="48">
        <v>3000</v>
      </c>
      <c r="F74" s="24"/>
      <c r="G74" s="25"/>
      <c r="H74" s="26">
        <v>660</v>
      </c>
      <c r="I74" s="49">
        <f t="shared" si="49"/>
        <v>30</v>
      </c>
      <c r="J74" s="50">
        <f t="shared" ref="J74:J137" si="53">H74-AH74</f>
        <v>660</v>
      </c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2">
        <f t="shared" si="50"/>
        <v>0</v>
      </c>
      <c r="AI74" s="53">
        <f t="shared" ref="AI74:AI137" si="54">IFERROR(J74/H74,"0")</f>
        <v>1</v>
      </c>
      <c r="AJ74" s="53">
        <f t="shared" ref="AJ74:AJ137" si="55">IFERROR(F74/E74,"0")</f>
        <v>0</v>
      </c>
      <c r="AK74" s="53" t="str">
        <f t="shared" si="51"/>
        <v>0</v>
      </c>
      <c r="AL74" s="53">
        <f t="shared" si="52"/>
        <v>0</v>
      </c>
      <c r="AM74" s="32" t="s">
        <v>46</v>
      </c>
    </row>
    <row r="75" spans="1:39" s="33" customFormat="1" ht="12.75" customHeight="1" thickBot="1" x14ac:dyDescent="0.25">
      <c r="A75" s="20">
        <f t="shared" ref="A75" si="56">A72+1</f>
        <v>46258</v>
      </c>
      <c r="B75" s="21">
        <f t="shared" ref="B75" si="57">A75</f>
        <v>46258</v>
      </c>
      <c r="C75" s="22" t="s">
        <v>42</v>
      </c>
      <c r="D75" s="23" t="s">
        <v>43</v>
      </c>
      <c r="E75" s="24">
        <v>2000</v>
      </c>
      <c r="F75" s="24"/>
      <c r="G75" s="25"/>
      <c r="H75" s="26">
        <v>660</v>
      </c>
      <c r="I75" s="27">
        <f t="shared" si="49"/>
        <v>30</v>
      </c>
      <c r="J75" s="28">
        <f t="shared" si="53"/>
        <v>660</v>
      </c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30">
        <f t="shared" si="50"/>
        <v>0</v>
      </c>
      <c r="AI75" s="31">
        <f t="shared" si="54"/>
        <v>1</v>
      </c>
      <c r="AJ75" s="31">
        <f t="shared" si="55"/>
        <v>0</v>
      </c>
      <c r="AK75" s="31" t="str">
        <f t="shared" si="51"/>
        <v>0</v>
      </c>
      <c r="AL75" s="31">
        <f t="shared" si="52"/>
        <v>0</v>
      </c>
      <c r="AM75" s="32"/>
    </row>
    <row r="76" spans="1:39" s="33" customFormat="1" ht="12.75" customHeight="1" thickBot="1" x14ac:dyDescent="0.25">
      <c r="A76" s="34"/>
      <c r="B76" s="35"/>
      <c r="C76" s="36" t="s">
        <v>42</v>
      </c>
      <c r="D76" s="37" t="s">
        <v>45</v>
      </c>
      <c r="E76" s="38">
        <v>3000</v>
      </c>
      <c r="F76" s="24"/>
      <c r="G76" s="25"/>
      <c r="H76" s="26">
        <v>660</v>
      </c>
      <c r="I76" s="39">
        <f t="shared" si="49"/>
        <v>30</v>
      </c>
      <c r="J76" s="40">
        <f t="shared" si="53"/>
        <v>660</v>
      </c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2">
        <f t="shared" si="50"/>
        <v>0</v>
      </c>
      <c r="AI76" s="43">
        <f t="shared" si="54"/>
        <v>1</v>
      </c>
      <c r="AJ76" s="43">
        <f t="shared" si="55"/>
        <v>0</v>
      </c>
      <c r="AK76" s="43" t="str">
        <f t="shared" si="51"/>
        <v>0</v>
      </c>
      <c r="AL76" s="43">
        <f t="shared" si="52"/>
        <v>0</v>
      </c>
      <c r="AM76" s="32"/>
    </row>
    <row r="77" spans="1:39" s="33" customFormat="1" ht="12.75" customHeight="1" thickBot="1" x14ac:dyDescent="0.25">
      <c r="A77" s="44"/>
      <c r="B77" s="45"/>
      <c r="C77" s="46" t="s">
        <v>42</v>
      </c>
      <c r="D77" s="47" t="s">
        <v>47</v>
      </c>
      <c r="E77" s="48">
        <v>3000</v>
      </c>
      <c r="F77" s="24"/>
      <c r="G77" s="25"/>
      <c r="H77" s="26">
        <v>660</v>
      </c>
      <c r="I77" s="49">
        <f t="shared" si="49"/>
        <v>30</v>
      </c>
      <c r="J77" s="50">
        <f t="shared" si="53"/>
        <v>660</v>
      </c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2">
        <f t="shared" si="50"/>
        <v>0</v>
      </c>
      <c r="AI77" s="53">
        <f t="shared" si="54"/>
        <v>1</v>
      </c>
      <c r="AJ77" s="53">
        <f t="shared" si="55"/>
        <v>0</v>
      </c>
      <c r="AK77" s="53" t="str">
        <f t="shared" si="51"/>
        <v>0</v>
      </c>
      <c r="AL77" s="53">
        <f t="shared" si="52"/>
        <v>0</v>
      </c>
      <c r="AM77" s="32"/>
    </row>
    <row r="78" spans="1:39" s="33" customFormat="1" ht="12.75" customHeight="1" thickBot="1" x14ac:dyDescent="0.25">
      <c r="A78" s="20">
        <f t="shared" ref="A78" si="58">A75+1</f>
        <v>46259</v>
      </c>
      <c r="B78" s="21">
        <f t="shared" ref="B78" si="59">A78</f>
        <v>46259</v>
      </c>
      <c r="C78" s="22" t="s">
        <v>42</v>
      </c>
      <c r="D78" s="23" t="s">
        <v>43</v>
      </c>
      <c r="E78" s="24">
        <v>2000</v>
      </c>
      <c r="F78" s="24"/>
      <c r="G78" s="25"/>
      <c r="H78" s="26">
        <v>660</v>
      </c>
      <c r="I78" s="27">
        <f t="shared" si="49"/>
        <v>30</v>
      </c>
      <c r="J78" s="28">
        <f t="shared" si="53"/>
        <v>660</v>
      </c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30">
        <f t="shared" si="50"/>
        <v>0</v>
      </c>
      <c r="AI78" s="31">
        <f t="shared" si="54"/>
        <v>1</v>
      </c>
      <c r="AJ78" s="31">
        <f t="shared" si="55"/>
        <v>0</v>
      </c>
      <c r="AK78" s="31" t="str">
        <f t="shared" si="51"/>
        <v>0</v>
      </c>
      <c r="AL78" s="31">
        <f t="shared" si="52"/>
        <v>0</v>
      </c>
      <c r="AM78" s="32" t="s">
        <v>44</v>
      </c>
    </row>
    <row r="79" spans="1:39" s="33" customFormat="1" ht="12.75" customHeight="1" thickBot="1" x14ac:dyDescent="0.25">
      <c r="A79" s="34"/>
      <c r="B79" s="35"/>
      <c r="C79" s="36" t="s">
        <v>42</v>
      </c>
      <c r="D79" s="37" t="s">
        <v>45</v>
      </c>
      <c r="E79" s="38">
        <v>3000</v>
      </c>
      <c r="F79" s="24"/>
      <c r="G79" s="25"/>
      <c r="H79" s="26">
        <v>660</v>
      </c>
      <c r="I79" s="39">
        <f t="shared" si="49"/>
        <v>30</v>
      </c>
      <c r="J79" s="40">
        <f t="shared" si="53"/>
        <v>660</v>
      </c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2">
        <f t="shared" si="50"/>
        <v>0</v>
      </c>
      <c r="AI79" s="43">
        <f t="shared" si="54"/>
        <v>1</v>
      </c>
      <c r="AJ79" s="43">
        <f t="shared" si="55"/>
        <v>0</v>
      </c>
      <c r="AK79" s="43" t="str">
        <f t="shared" si="51"/>
        <v>0</v>
      </c>
      <c r="AL79" s="43">
        <f t="shared" si="52"/>
        <v>0</v>
      </c>
      <c r="AM79" s="32" t="s">
        <v>46</v>
      </c>
    </row>
    <row r="80" spans="1:39" s="33" customFormat="1" ht="12.75" customHeight="1" thickBot="1" x14ac:dyDescent="0.25">
      <c r="A80" s="44"/>
      <c r="B80" s="45"/>
      <c r="C80" s="46" t="s">
        <v>42</v>
      </c>
      <c r="D80" s="47" t="s">
        <v>47</v>
      </c>
      <c r="E80" s="48">
        <v>3000</v>
      </c>
      <c r="F80" s="24"/>
      <c r="G80" s="25"/>
      <c r="H80" s="26">
        <v>660</v>
      </c>
      <c r="I80" s="49">
        <f t="shared" si="49"/>
        <v>30</v>
      </c>
      <c r="J80" s="50">
        <f t="shared" si="53"/>
        <v>660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2">
        <f t="shared" si="50"/>
        <v>0</v>
      </c>
      <c r="AI80" s="53">
        <f t="shared" si="54"/>
        <v>1</v>
      </c>
      <c r="AJ80" s="53">
        <f t="shared" si="55"/>
        <v>0</v>
      </c>
      <c r="AK80" s="53" t="str">
        <f t="shared" si="51"/>
        <v>0</v>
      </c>
      <c r="AL80" s="53">
        <f t="shared" si="52"/>
        <v>0</v>
      </c>
      <c r="AM80" s="32" t="s">
        <v>46</v>
      </c>
    </row>
    <row r="81" spans="1:39" s="33" customFormat="1" ht="12.75" customHeight="1" thickBot="1" x14ac:dyDescent="0.25">
      <c r="A81" s="20">
        <f t="shared" ref="A81" si="60">A78+1</f>
        <v>46260</v>
      </c>
      <c r="B81" s="21">
        <f t="shared" ref="B81" si="61">A81</f>
        <v>46260</v>
      </c>
      <c r="C81" s="22" t="s">
        <v>42</v>
      </c>
      <c r="D81" s="23" t="s">
        <v>43</v>
      </c>
      <c r="E81" s="24">
        <v>2000</v>
      </c>
      <c r="F81" s="24"/>
      <c r="G81" s="25"/>
      <c r="H81" s="26">
        <v>660</v>
      </c>
      <c r="I81" s="27">
        <f t="shared" si="49"/>
        <v>30</v>
      </c>
      <c r="J81" s="28">
        <f t="shared" si="53"/>
        <v>660</v>
      </c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30">
        <f t="shared" si="50"/>
        <v>0</v>
      </c>
      <c r="AI81" s="31">
        <f t="shared" si="54"/>
        <v>1</v>
      </c>
      <c r="AJ81" s="31">
        <f t="shared" si="55"/>
        <v>0</v>
      </c>
      <c r="AK81" s="31" t="str">
        <f t="shared" si="51"/>
        <v>0</v>
      </c>
      <c r="AL81" s="31">
        <f t="shared" si="52"/>
        <v>0</v>
      </c>
      <c r="AM81" s="32" t="s">
        <v>44</v>
      </c>
    </row>
    <row r="82" spans="1:39" s="33" customFormat="1" ht="12.75" customHeight="1" thickBot="1" x14ac:dyDescent="0.25">
      <c r="A82" s="34"/>
      <c r="B82" s="35"/>
      <c r="C82" s="36" t="s">
        <v>42</v>
      </c>
      <c r="D82" s="37" t="s">
        <v>45</v>
      </c>
      <c r="E82" s="38">
        <v>3000</v>
      </c>
      <c r="F82" s="24"/>
      <c r="G82" s="25"/>
      <c r="H82" s="26">
        <v>660</v>
      </c>
      <c r="I82" s="39">
        <f t="shared" si="49"/>
        <v>30</v>
      </c>
      <c r="J82" s="40">
        <f t="shared" si="53"/>
        <v>660</v>
      </c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2">
        <f t="shared" si="50"/>
        <v>0</v>
      </c>
      <c r="AI82" s="43">
        <f t="shared" si="54"/>
        <v>1</v>
      </c>
      <c r="AJ82" s="43">
        <f t="shared" si="55"/>
        <v>0</v>
      </c>
      <c r="AK82" s="43" t="str">
        <f t="shared" si="51"/>
        <v>0</v>
      </c>
      <c r="AL82" s="43">
        <f t="shared" si="52"/>
        <v>0</v>
      </c>
      <c r="AM82" s="32" t="s">
        <v>46</v>
      </c>
    </row>
    <row r="83" spans="1:39" s="33" customFormat="1" ht="12.75" customHeight="1" thickBot="1" x14ac:dyDescent="0.25">
      <c r="A83" s="44"/>
      <c r="B83" s="45"/>
      <c r="C83" s="46" t="s">
        <v>42</v>
      </c>
      <c r="D83" s="47" t="s">
        <v>47</v>
      </c>
      <c r="E83" s="48">
        <v>3000</v>
      </c>
      <c r="F83" s="24"/>
      <c r="G83" s="25"/>
      <c r="H83" s="26">
        <v>660</v>
      </c>
      <c r="I83" s="49">
        <f t="shared" si="49"/>
        <v>30</v>
      </c>
      <c r="J83" s="50">
        <f t="shared" si="53"/>
        <v>660</v>
      </c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2">
        <f t="shared" si="50"/>
        <v>0</v>
      </c>
      <c r="AI83" s="53">
        <f t="shared" si="54"/>
        <v>1</v>
      </c>
      <c r="AJ83" s="53">
        <f t="shared" si="55"/>
        <v>0</v>
      </c>
      <c r="AK83" s="53" t="str">
        <f t="shared" si="51"/>
        <v>0</v>
      </c>
      <c r="AL83" s="53">
        <f t="shared" si="52"/>
        <v>0</v>
      </c>
      <c r="AM83" s="32" t="s">
        <v>46</v>
      </c>
    </row>
    <row r="84" spans="1:39" s="33" customFormat="1" ht="12.75" customHeight="1" thickBot="1" x14ac:dyDescent="0.25">
      <c r="A84" s="20">
        <f t="shared" ref="A84" si="62">A81+1</f>
        <v>46261</v>
      </c>
      <c r="B84" s="21">
        <f t="shared" ref="B84" si="63">A84</f>
        <v>46261</v>
      </c>
      <c r="C84" s="22" t="s">
        <v>42</v>
      </c>
      <c r="D84" s="23" t="s">
        <v>43</v>
      </c>
      <c r="E84" s="24">
        <v>1500</v>
      </c>
      <c r="F84" s="24"/>
      <c r="G84" s="25"/>
      <c r="H84" s="26">
        <v>660</v>
      </c>
      <c r="I84" s="27">
        <f t="shared" si="49"/>
        <v>30</v>
      </c>
      <c r="J84" s="28">
        <f t="shared" si="53"/>
        <v>660</v>
      </c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30">
        <f t="shared" si="50"/>
        <v>0</v>
      </c>
      <c r="AI84" s="31">
        <f t="shared" si="54"/>
        <v>1</v>
      </c>
      <c r="AJ84" s="31">
        <f t="shared" si="55"/>
        <v>0</v>
      </c>
      <c r="AK84" s="31" t="str">
        <f t="shared" si="51"/>
        <v>0</v>
      </c>
      <c r="AL84" s="31">
        <f t="shared" si="52"/>
        <v>0</v>
      </c>
      <c r="AM84" s="32" t="s">
        <v>44</v>
      </c>
    </row>
    <row r="85" spans="1:39" s="33" customFormat="1" ht="12.75" customHeight="1" thickBot="1" x14ac:dyDescent="0.25">
      <c r="A85" s="34"/>
      <c r="B85" s="35"/>
      <c r="C85" s="36" t="s">
        <v>42</v>
      </c>
      <c r="D85" s="37" t="s">
        <v>45</v>
      </c>
      <c r="E85" s="38">
        <v>2200</v>
      </c>
      <c r="F85" s="24"/>
      <c r="G85" s="25"/>
      <c r="H85" s="26">
        <v>660</v>
      </c>
      <c r="I85" s="39">
        <f t="shared" si="49"/>
        <v>30</v>
      </c>
      <c r="J85" s="40">
        <f t="shared" si="53"/>
        <v>660</v>
      </c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2">
        <f t="shared" si="50"/>
        <v>0</v>
      </c>
      <c r="AI85" s="43">
        <f t="shared" si="54"/>
        <v>1</v>
      </c>
      <c r="AJ85" s="43">
        <f t="shared" si="55"/>
        <v>0</v>
      </c>
      <c r="AK85" s="43" t="str">
        <f t="shared" si="51"/>
        <v>0</v>
      </c>
      <c r="AL85" s="43">
        <f t="shared" si="52"/>
        <v>0</v>
      </c>
      <c r="AM85" s="32" t="s">
        <v>46</v>
      </c>
    </row>
    <row r="86" spans="1:39" s="33" customFormat="1" ht="12.75" customHeight="1" thickBot="1" x14ac:dyDescent="0.25">
      <c r="A86" s="44"/>
      <c r="B86" s="45"/>
      <c r="C86" s="46" t="s">
        <v>42</v>
      </c>
      <c r="D86" s="47" t="s">
        <v>47</v>
      </c>
      <c r="E86" s="48">
        <v>2200</v>
      </c>
      <c r="F86" s="24"/>
      <c r="G86" s="25"/>
      <c r="H86" s="26">
        <v>660</v>
      </c>
      <c r="I86" s="49">
        <f t="shared" si="49"/>
        <v>30</v>
      </c>
      <c r="J86" s="50">
        <f t="shared" si="53"/>
        <v>660</v>
      </c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2">
        <f t="shared" si="50"/>
        <v>0</v>
      </c>
      <c r="AI86" s="53">
        <f t="shared" si="54"/>
        <v>1</v>
      </c>
      <c r="AJ86" s="53">
        <f t="shared" si="55"/>
        <v>0</v>
      </c>
      <c r="AK86" s="53" t="str">
        <f t="shared" si="51"/>
        <v>0</v>
      </c>
      <c r="AL86" s="53">
        <f t="shared" si="52"/>
        <v>0</v>
      </c>
      <c r="AM86" s="32" t="s">
        <v>46</v>
      </c>
    </row>
    <row r="87" spans="1:39" s="33" customFormat="1" ht="12.75" customHeight="1" thickBot="1" x14ac:dyDescent="0.25">
      <c r="A87" s="20">
        <f t="shared" ref="A87" si="64">A84+1</f>
        <v>46262</v>
      </c>
      <c r="B87" s="21">
        <f t="shared" ref="B87" si="65">A87</f>
        <v>46262</v>
      </c>
      <c r="C87" s="22" t="s">
        <v>42</v>
      </c>
      <c r="D87" s="23" t="s">
        <v>43</v>
      </c>
      <c r="E87" s="24"/>
      <c r="F87" s="24"/>
      <c r="G87" s="25"/>
      <c r="H87" s="26"/>
      <c r="I87" s="27">
        <f t="shared" si="49"/>
        <v>0</v>
      </c>
      <c r="J87" s="28">
        <f t="shared" si="53"/>
        <v>0</v>
      </c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30">
        <f t="shared" si="50"/>
        <v>0</v>
      </c>
      <c r="AI87" s="31" t="str">
        <f t="shared" si="54"/>
        <v>0</v>
      </c>
      <c r="AJ87" s="31" t="str">
        <f t="shared" si="55"/>
        <v>0</v>
      </c>
      <c r="AK87" s="31" t="str">
        <f t="shared" si="51"/>
        <v>0</v>
      </c>
      <c r="AL87" s="31">
        <f t="shared" si="52"/>
        <v>0</v>
      </c>
      <c r="AM87" s="32"/>
    </row>
    <row r="88" spans="1:39" s="33" customFormat="1" ht="12.75" customHeight="1" thickBot="1" x14ac:dyDescent="0.25">
      <c r="A88" s="34"/>
      <c r="B88" s="35"/>
      <c r="C88" s="36" t="s">
        <v>42</v>
      </c>
      <c r="D88" s="37" t="s">
        <v>45</v>
      </c>
      <c r="E88" s="38"/>
      <c r="F88" s="24"/>
      <c r="G88" s="25"/>
      <c r="H88" s="26"/>
      <c r="I88" s="39">
        <f t="shared" si="49"/>
        <v>0</v>
      </c>
      <c r="J88" s="40">
        <f t="shared" si="53"/>
        <v>0</v>
      </c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2">
        <f t="shared" si="50"/>
        <v>0</v>
      </c>
      <c r="AI88" s="43" t="str">
        <f t="shared" si="54"/>
        <v>0</v>
      </c>
      <c r="AJ88" s="43" t="str">
        <f t="shared" si="55"/>
        <v>0</v>
      </c>
      <c r="AK88" s="43" t="str">
        <f t="shared" si="51"/>
        <v>0</v>
      </c>
      <c r="AL88" s="43">
        <f t="shared" si="52"/>
        <v>0</v>
      </c>
      <c r="AM88" s="32"/>
    </row>
    <row r="89" spans="1:39" s="33" customFormat="1" ht="12.75" customHeight="1" thickBot="1" x14ac:dyDescent="0.25">
      <c r="A89" s="44"/>
      <c r="B89" s="45"/>
      <c r="C89" s="46" t="s">
        <v>42</v>
      </c>
      <c r="D89" s="47" t="s">
        <v>47</v>
      </c>
      <c r="E89" s="48"/>
      <c r="F89" s="24"/>
      <c r="G89" s="25"/>
      <c r="H89" s="26"/>
      <c r="I89" s="49">
        <f t="shared" si="49"/>
        <v>0</v>
      </c>
      <c r="J89" s="50">
        <f t="shared" si="53"/>
        <v>0</v>
      </c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2">
        <f t="shared" si="50"/>
        <v>0</v>
      </c>
      <c r="AI89" s="53" t="str">
        <f t="shared" si="54"/>
        <v>0</v>
      </c>
      <c r="AJ89" s="53" t="str">
        <f t="shared" si="55"/>
        <v>0</v>
      </c>
      <c r="AK89" s="53" t="str">
        <f t="shared" si="51"/>
        <v>0</v>
      </c>
      <c r="AL89" s="53">
        <f t="shared" si="52"/>
        <v>0</v>
      </c>
      <c r="AM89" s="32"/>
    </row>
    <row r="90" spans="1:39" s="33" customFormat="1" ht="12.75" customHeight="1" thickBot="1" x14ac:dyDescent="0.25">
      <c r="A90" s="20">
        <f t="shared" ref="A90" si="66">A87+1</f>
        <v>46263</v>
      </c>
      <c r="B90" s="21">
        <f t="shared" ref="B90" si="67">A90</f>
        <v>46263</v>
      </c>
      <c r="C90" s="22" t="s">
        <v>42</v>
      </c>
      <c r="D90" s="23" t="s">
        <v>43</v>
      </c>
      <c r="E90" s="24">
        <v>1500</v>
      </c>
      <c r="F90" s="24"/>
      <c r="G90" s="25"/>
      <c r="H90" s="26">
        <v>660</v>
      </c>
      <c r="I90" s="27">
        <f t="shared" si="49"/>
        <v>30</v>
      </c>
      <c r="J90" s="28">
        <f t="shared" si="53"/>
        <v>660</v>
      </c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30">
        <f t="shared" si="50"/>
        <v>0</v>
      </c>
      <c r="AI90" s="31">
        <f t="shared" si="54"/>
        <v>1</v>
      </c>
      <c r="AJ90" s="31">
        <f t="shared" si="55"/>
        <v>0</v>
      </c>
      <c r="AK90" s="31" t="str">
        <f t="shared" si="51"/>
        <v>0</v>
      </c>
      <c r="AL90" s="31">
        <f t="shared" si="52"/>
        <v>0</v>
      </c>
      <c r="AM90" s="32" t="s">
        <v>44</v>
      </c>
    </row>
    <row r="91" spans="1:39" s="33" customFormat="1" ht="12.75" customHeight="1" thickBot="1" x14ac:dyDescent="0.25">
      <c r="A91" s="34"/>
      <c r="B91" s="35"/>
      <c r="C91" s="36" t="s">
        <v>42</v>
      </c>
      <c r="D91" s="37" t="s">
        <v>45</v>
      </c>
      <c r="E91" s="38">
        <v>2200</v>
      </c>
      <c r="F91" s="24"/>
      <c r="G91" s="25"/>
      <c r="H91" s="26">
        <v>660</v>
      </c>
      <c r="I91" s="39">
        <f t="shared" si="49"/>
        <v>30</v>
      </c>
      <c r="J91" s="40">
        <f t="shared" si="53"/>
        <v>660</v>
      </c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2">
        <f t="shared" si="50"/>
        <v>0</v>
      </c>
      <c r="AI91" s="43">
        <f t="shared" si="54"/>
        <v>1</v>
      </c>
      <c r="AJ91" s="43">
        <f t="shared" si="55"/>
        <v>0</v>
      </c>
      <c r="AK91" s="43" t="str">
        <f t="shared" si="51"/>
        <v>0</v>
      </c>
      <c r="AL91" s="43">
        <f t="shared" si="52"/>
        <v>0</v>
      </c>
      <c r="AM91" s="32" t="s">
        <v>46</v>
      </c>
    </row>
    <row r="92" spans="1:39" s="33" customFormat="1" ht="12.75" customHeight="1" thickBot="1" x14ac:dyDescent="0.25">
      <c r="A92" s="44"/>
      <c r="B92" s="45"/>
      <c r="C92" s="46" t="s">
        <v>42</v>
      </c>
      <c r="D92" s="47" t="s">
        <v>47</v>
      </c>
      <c r="E92" s="48">
        <v>2200</v>
      </c>
      <c r="F92" s="24"/>
      <c r="G92" s="25"/>
      <c r="H92" s="26">
        <v>660</v>
      </c>
      <c r="I92" s="49">
        <f t="shared" si="49"/>
        <v>30</v>
      </c>
      <c r="J92" s="50">
        <f t="shared" si="53"/>
        <v>660</v>
      </c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2">
        <f t="shared" si="50"/>
        <v>0</v>
      </c>
      <c r="AI92" s="53">
        <f t="shared" si="54"/>
        <v>1</v>
      </c>
      <c r="AJ92" s="53">
        <f t="shared" si="55"/>
        <v>0</v>
      </c>
      <c r="AK92" s="53" t="str">
        <f t="shared" si="51"/>
        <v>0</v>
      </c>
      <c r="AL92" s="53">
        <f t="shared" si="52"/>
        <v>0</v>
      </c>
      <c r="AM92" s="32" t="s">
        <v>46</v>
      </c>
    </row>
    <row r="93" spans="1:39" s="33" customFormat="1" ht="12.75" customHeight="1" thickBot="1" x14ac:dyDescent="0.25">
      <c r="A93" s="20">
        <f t="shared" ref="A93" si="68">A90+1</f>
        <v>46264</v>
      </c>
      <c r="B93" s="21">
        <f t="shared" ref="B93" si="69">A93</f>
        <v>46264</v>
      </c>
      <c r="C93" s="22" t="s">
        <v>42</v>
      </c>
      <c r="D93" s="23" t="s">
        <v>43</v>
      </c>
      <c r="E93" s="24">
        <v>2000</v>
      </c>
      <c r="F93" s="24"/>
      <c r="G93" s="25"/>
      <c r="H93" s="26">
        <v>660</v>
      </c>
      <c r="I93" s="27">
        <f t="shared" si="49"/>
        <v>30</v>
      </c>
      <c r="J93" s="28">
        <f t="shared" si="53"/>
        <v>660</v>
      </c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30">
        <f t="shared" si="50"/>
        <v>0</v>
      </c>
      <c r="AI93" s="31">
        <f t="shared" si="54"/>
        <v>1</v>
      </c>
      <c r="AJ93" s="31">
        <f t="shared" si="55"/>
        <v>0</v>
      </c>
      <c r="AK93" s="31" t="str">
        <f t="shared" si="51"/>
        <v>0</v>
      </c>
      <c r="AL93" s="31">
        <f t="shared" si="52"/>
        <v>0</v>
      </c>
      <c r="AM93" s="32" t="s">
        <v>44</v>
      </c>
    </row>
    <row r="94" spans="1:39" s="33" customFormat="1" ht="12.75" customHeight="1" thickBot="1" x14ac:dyDescent="0.25">
      <c r="A94" s="34"/>
      <c r="B94" s="35"/>
      <c r="C94" s="36" t="s">
        <v>42</v>
      </c>
      <c r="D94" s="37" t="s">
        <v>45</v>
      </c>
      <c r="E94" s="38">
        <v>3000</v>
      </c>
      <c r="F94" s="24"/>
      <c r="G94" s="25"/>
      <c r="H94" s="26">
        <v>660</v>
      </c>
      <c r="I94" s="39">
        <f t="shared" si="49"/>
        <v>30</v>
      </c>
      <c r="J94" s="40">
        <f t="shared" si="53"/>
        <v>660</v>
      </c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2">
        <f t="shared" si="50"/>
        <v>0</v>
      </c>
      <c r="AI94" s="43">
        <f t="shared" si="54"/>
        <v>1</v>
      </c>
      <c r="AJ94" s="43">
        <f t="shared" si="55"/>
        <v>0</v>
      </c>
      <c r="AK94" s="43" t="str">
        <f t="shared" si="51"/>
        <v>0</v>
      </c>
      <c r="AL94" s="43">
        <f t="shared" si="52"/>
        <v>0</v>
      </c>
      <c r="AM94" s="32" t="s">
        <v>46</v>
      </c>
    </row>
    <row r="95" spans="1:39" s="33" customFormat="1" ht="12.75" customHeight="1" thickBot="1" x14ac:dyDescent="0.25">
      <c r="A95" s="44"/>
      <c r="B95" s="45"/>
      <c r="C95" s="46" t="s">
        <v>42</v>
      </c>
      <c r="D95" s="47" t="s">
        <v>47</v>
      </c>
      <c r="E95" s="48">
        <v>3000</v>
      </c>
      <c r="F95" s="24"/>
      <c r="G95" s="25"/>
      <c r="H95" s="26">
        <v>660</v>
      </c>
      <c r="I95" s="49">
        <f t="shared" si="49"/>
        <v>30</v>
      </c>
      <c r="J95" s="50">
        <f t="shared" si="53"/>
        <v>660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2">
        <f t="shared" si="50"/>
        <v>0</v>
      </c>
      <c r="AI95" s="53">
        <f t="shared" si="54"/>
        <v>1</v>
      </c>
      <c r="AJ95" s="53">
        <f t="shared" si="55"/>
        <v>0</v>
      </c>
      <c r="AK95" s="53" t="str">
        <f t="shared" si="51"/>
        <v>0</v>
      </c>
      <c r="AL95" s="53">
        <f t="shared" si="52"/>
        <v>0</v>
      </c>
      <c r="AM95" s="32" t="s">
        <v>46</v>
      </c>
    </row>
    <row r="96" spans="1:39" s="33" customFormat="1" ht="12.75" customHeight="1" thickBot="1" x14ac:dyDescent="0.25">
      <c r="A96" s="20">
        <f t="shared" ref="A96" si="70">A93+1</f>
        <v>46265</v>
      </c>
      <c r="B96" s="21">
        <f t="shared" ref="B96" si="71">A96</f>
        <v>46265</v>
      </c>
      <c r="C96" s="22" t="s">
        <v>42</v>
      </c>
      <c r="D96" s="23" t="s">
        <v>43</v>
      </c>
      <c r="E96" s="24">
        <v>2000</v>
      </c>
      <c r="F96" s="24"/>
      <c r="G96" s="25"/>
      <c r="H96" s="26">
        <v>660</v>
      </c>
      <c r="I96" s="27">
        <f t="shared" si="49"/>
        <v>30</v>
      </c>
      <c r="J96" s="28">
        <f t="shared" si="53"/>
        <v>660</v>
      </c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30">
        <f t="shared" si="50"/>
        <v>0</v>
      </c>
      <c r="AI96" s="31">
        <f t="shared" si="54"/>
        <v>1</v>
      </c>
      <c r="AJ96" s="31">
        <f t="shared" si="55"/>
        <v>0</v>
      </c>
      <c r="AK96" s="31" t="str">
        <f t="shared" si="51"/>
        <v>0</v>
      </c>
      <c r="AL96" s="31">
        <f t="shared" si="52"/>
        <v>0</v>
      </c>
      <c r="AM96" s="32"/>
    </row>
    <row r="97" spans="1:39" s="33" customFormat="1" ht="12.75" customHeight="1" thickBot="1" x14ac:dyDescent="0.25">
      <c r="A97" s="34"/>
      <c r="B97" s="35"/>
      <c r="C97" s="36" t="s">
        <v>42</v>
      </c>
      <c r="D97" s="37" t="s">
        <v>45</v>
      </c>
      <c r="E97" s="38">
        <v>3000</v>
      </c>
      <c r="F97" s="24"/>
      <c r="G97" s="25"/>
      <c r="H97" s="26">
        <v>660</v>
      </c>
      <c r="I97" s="39">
        <f t="shared" si="49"/>
        <v>30</v>
      </c>
      <c r="J97" s="40">
        <f t="shared" si="53"/>
        <v>660</v>
      </c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2">
        <f t="shared" si="50"/>
        <v>0</v>
      </c>
      <c r="AI97" s="43">
        <f t="shared" si="54"/>
        <v>1</v>
      </c>
      <c r="AJ97" s="43">
        <f t="shared" si="55"/>
        <v>0</v>
      </c>
      <c r="AK97" s="43" t="str">
        <f t="shared" si="51"/>
        <v>0</v>
      </c>
      <c r="AL97" s="43">
        <f t="shared" si="52"/>
        <v>0</v>
      </c>
      <c r="AM97" s="32"/>
    </row>
    <row r="98" spans="1:39" s="33" customFormat="1" ht="12.75" customHeight="1" thickBot="1" x14ac:dyDescent="0.25">
      <c r="A98" s="44"/>
      <c r="B98" s="45"/>
      <c r="C98" s="46" t="s">
        <v>42</v>
      </c>
      <c r="D98" s="47" t="s">
        <v>47</v>
      </c>
      <c r="E98" s="48">
        <v>3000</v>
      </c>
      <c r="F98" s="24"/>
      <c r="G98" s="25"/>
      <c r="H98" s="26">
        <v>660</v>
      </c>
      <c r="I98" s="49">
        <f t="shared" si="49"/>
        <v>30</v>
      </c>
      <c r="J98" s="50">
        <f t="shared" si="53"/>
        <v>660</v>
      </c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2">
        <f t="shared" si="50"/>
        <v>0</v>
      </c>
      <c r="AI98" s="53">
        <f t="shared" si="54"/>
        <v>1</v>
      </c>
      <c r="AJ98" s="53">
        <f t="shared" si="55"/>
        <v>0</v>
      </c>
      <c r="AK98" s="53" t="str">
        <f t="shared" si="51"/>
        <v>0</v>
      </c>
      <c r="AL98" s="53">
        <f t="shared" si="52"/>
        <v>0</v>
      </c>
      <c r="AM98" s="32"/>
    </row>
    <row r="99" spans="1:39" s="78" customFormat="1" ht="14.25" x14ac:dyDescent="0.25">
      <c r="A99" s="72" t="s">
        <v>49</v>
      </c>
      <c r="B99" s="73"/>
      <c r="C99" s="73"/>
      <c r="D99" s="74"/>
      <c r="E99" s="75">
        <f>SUM(E6:E98)</f>
        <v>203450</v>
      </c>
      <c r="F99" s="75">
        <f t="shared" ref="F99:AH99" si="72">SUM(F6:F98)</f>
        <v>57939</v>
      </c>
      <c r="G99" s="75">
        <f t="shared" si="72"/>
        <v>0</v>
      </c>
      <c r="H99" s="75">
        <f t="shared" si="72"/>
        <v>51600</v>
      </c>
      <c r="I99" s="75">
        <f t="shared" si="72"/>
        <v>2370</v>
      </c>
      <c r="J99" s="75">
        <f t="shared" si="72"/>
        <v>51600</v>
      </c>
      <c r="K99" s="75">
        <f t="shared" si="72"/>
        <v>0</v>
      </c>
      <c r="L99" s="75">
        <f t="shared" si="72"/>
        <v>0</v>
      </c>
      <c r="M99" s="75">
        <f t="shared" si="72"/>
        <v>0</v>
      </c>
      <c r="N99" s="75">
        <f t="shared" si="72"/>
        <v>0</v>
      </c>
      <c r="O99" s="75">
        <f t="shared" si="72"/>
        <v>0</v>
      </c>
      <c r="P99" s="75">
        <f t="shared" si="72"/>
        <v>0</v>
      </c>
      <c r="Q99" s="75">
        <f t="shared" si="72"/>
        <v>0</v>
      </c>
      <c r="R99" s="75">
        <f t="shared" si="72"/>
        <v>0</v>
      </c>
      <c r="S99" s="75">
        <f t="shared" si="72"/>
        <v>0</v>
      </c>
      <c r="T99" s="75">
        <f t="shared" si="72"/>
        <v>0</v>
      </c>
      <c r="U99" s="75">
        <f t="shared" si="72"/>
        <v>0</v>
      </c>
      <c r="V99" s="75">
        <f t="shared" si="72"/>
        <v>0</v>
      </c>
      <c r="W99" s="75">
        <f t="shared" si="72"/>
        <v>0</v>
      </c>
      <c r="X99" s="75">
        <f t="shared" si="72"/>
        <v>0</v>
      </c>
      <c r="Y99" s="75">
        <f t="shared" si="72"/>
        <v>0</v>
      </c>
      <c r="Z99" s="75">
        <f t="shared" si="72"/>
        <v>0</v>
      </c>
      <c r="AA99" s="75">
        <f t="shared" si="72"/>
        <v>0</v>
      </c>
      <c r="AB99" s="75">
        <f t="shared" si="72"/>
        <v>0</v>
      </c>
      <c r="AC99" s="75">
        <f t="shared" si="72"/>
        <v>0</v>
      </c>
      <c r="AD99" s="75">
        <f t="shared" si="72"/>
        <v>0</v>
      </c>
      <c r="AE99" s="75">
        <f t="shared" si="72"/>
        <v>0</v>
      </c>
      <c r="AF99" s="75">
        <f t="shared" si="72"/>
        <v>0</v>
      </c>
      <c r="AG99" s="75">
        <f t="shared" si="72"/>
        <v>0</v>
      </c>
      <c r="AH99" s="75">
        <f t="shared" si="72"/>
        <v>0</v>
      </c>
      <c r="AI99" s="76">
        <f>IFERROR(J99/H99,0)</f>
        <v>1</v>
      </c>
      <c r="AJ99" s="76">
        <f>IFERROR(F99/E99,0)</f>
        <v>0.28478250184320469</v>
      </c>
      <c r="AK99" s="76">
        <f>IFERROR(F99/(F99+G99),0)</f>
        <v>1</v>
      </c>
      <c r="AL99" s="76">
        <f>IFERROR(AK99*AJ99*AI99,0)</f>
        <v>0.28478250184320469</v>
      </c>
      <c r="AM99" s="77"/>
    </row>
    <row r="103" spans="1:39" x14ac:dyDescent="0.25">
      <c r="AI103" s="81"/>
      <c r="AJ103" s="81"/>
      <c r="AK103" s="81"/>
    </row>
  </sheetData>
  <mergeCells count="66">
    <mergeCell ref="A93:A95"/>
    <mergeCell ref="B93:B95"/>
    <mergeCell ref="A96:A98"/>
    <mergeCell ref="B96:B98"/>
    <mergeCell ref="A99:D99"/>
    <mergeCell ref="A84:A86"/>
    <mergeCell ref="B84:B86"/>
    <mergeCell ref="A87:A89"/>
    <mergeCell ref="B87:B89"/>
    <mergeCell ref="A90:A92"/>
    <mergeCell ref="B90:B92"/>
    <mergeCell ref="A75:A77"/>
    <mergeCell ref="B75:B77"/>
    <mergeCell ref="A78:A80"/>
    <mergeCell ref="B78:B80"/>
    <mergeCell ref="A81:A83"/>
    <mergeCell ref="B81:B83"/>
    <mergeCell ref="A66:A68"/>
    <mergeCell ref="B66:B68"/>
    <mergeCell ref="A69:A71"/>
    <mergeCell ref="B69:B71"/>
    <mergeCell ref="A72:A74"/>
    <mergeCell ref="B72:B74"/>
    <mergeCell ref="A57:A59"/>
    <mergeCell ref="B57:B59"/>
    <mergeCell ref="A60:A62"/>
    <mergeCell ref="B60:B62"/>
    <mergeCell ref="A63:A65"/>
    <mergeCell ref="B63:B65"/>
    <mergeCell ref="A48:A50"/>
    <mergeCell ref="B48:B50"/>
    <mergeCell ref="A51:A53"/>
    <mergeCell ref="B51:B53"/>
    <mergeCell ref="A54:A56"/>
    <mergeCell ref="B54:B56"/>
    <mergeCell ref="A39:A41"/>
    <mergeCell ref="B39:B41"/>
    <mergeCell ref="A42:A44"/>
    <mergeCell ref="B42:B44"/>
    <mergeCell ref="A45:A47"/>
    <mergeCell ref="B45:B47"/>
    <mergeCell ref="A30:A32"/>
    <mergeCell ref="B30:B32"/>
    <mergeCell ref="A33:A35"/>
    <mergeCell ref="B33:B35"/>
    <mergeCell ref="A36:A38"/>
    <mergeCell ref="B36:B38"/>
    <mergeCell ref="A21:A23"/>
    <mergeCell ref="B21:B23"/>
    <mergeCell ref="A24:A26"/>
    <mergeCell ref="B24:B26"/>
    <mergeCell ref="A27:A29"/>
    <mergeCell ref="B27:B29"/>
    <mergeCell ref="A12:A14"/>
    <mergeCell ref="B12:B14"/>
    <mergeCell ref="A15:A17"/>
    <mergeCell ref="B15:B17"/>
    <mergeCell ref="A18:A20"/>
    <mergeCell ref="B18:B20"/>
    <mergeCell ref="A1:AM1"/>
    <mergeCell ref="A2:AM2"/>
    <mergeCell ref="A3:AL3"/>
    <mergeCell ref="A6:A8"/>
    <mergeCell ref="B6:B8"/>
    <mergeCell ref="A9:A11"/>
    <mergeCell ref="B9:B11"/>
  </mergeCells>
  <conditionalFormatting sqref="B6 A6:A98 B9 B12 B15 B18 B21 B24 B27 B30 B33 B36 B39 B42 B45 B48 B51 B54 B57 B60 B63 B66 B69 B72 B75 B78 B81 B84 B87 B90 B93">
    <cfRule type="expression" dxfId="10" priority="5">
      <formula>TEXT($A4,"ddd")="Fri"</formula>
    </cfRule>
    <cfRule type="expression" dxfId="9" priority="6">
      <formula>TEXT($A5,"ddd")="Fri"</formula>
    </cfRule>
  </conditionalFormatting>
  <conditionalFormatting sqref="B96 A99:AM99">
    <cfRule type="expression" dxfId="8" priority="9">
      <formula>TEXT($A94,"ddd")="Fri"</formula>
    </cfRule>
    <cfRule type="expression" dxfId="7" priority="10">
      <formula>TEXT($A95,"ddd")="Fri"</formula>
    </cfRule>
    <cfRule type="expression" dxfId="6" priority="11">
      <formula>TEXT($A96,"ddd")="Fri"</formula>
    </cfRule>
  </conditionalFormatting>
  <conditionalFormatting sqref="C6:F98">
    <cfRule type="expression" dxfId="5" priority="4">
      <formula>TEXT($A6,"ddd")="Fri"</formula>
    </cfRule>
  </conditionalFormatting>
  <conditionalFormatting sqref="C6:AM98">
    <cfRule type="expression" dxfId="4" priority="2">
      <formula>TEXT($A4,"ddd")="Fri"</formula>
    </cfRule>
    <cfRule type="expression" dxfId="3" priority="3">
      <formula>TEXT($A5,"ddd")="Fri"</formula>
    </cfRule>
  </conditionalFormatting>
  <conditionalFormatting sqref="G6:AM98 B6 A6:A98 B9 B12 B15 B18 B21 B24 B27 B30 B33 B36 B39 B42 B45 B48 B51 B54 B57 B60 B63 B66 B69 B72 B75 B78 B81 B84 B87 B90 B93">
    <cfRule type="expression" dxfId="2" priority="8">
      <formula>TEXT($A6,"ddd")="Fri"</formula>
    </cfRule>
  </conditionalFormatting>
  <conditionalFormatting sqref="K6:AG98">
    <cfRule type="cellIs" dxfId="1" priority="7" operator="greaterThan">
      <formula>0</formula>
    </cfRule>
  </conditionalFormatting>
  <conditionalFormatting sqref="N9">
    <cfRule type="expression" dxfId="0" priority="1">
      <formula>TEXT($A9,"ddd")="Fri"</formula>
    </cfRule>
  </conditionalFormatting>
  <pageMargins left="0.1" right="0.25" top="0.53" bottom="0.03" header="0" footer="0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Fan Lathe</vt:lpstr>
      <vt:lpstr>'Fan Lathe'!Print_Area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Ahmed</dc:creator>
  <cp:lastModifiedBy>Arif Ahmed</cp:lastModifiedBy>
  <dcterms:created xsi:type="dcterms:W3CDTF">2026-08-20T08:35:03Z</dcterms:created>
  <dcterms:modified xsi:type="dcterms:W3CDTF">2026-08-20T08:35:16Z</dcterms:modified>
</cp:coreProperties>
</file>